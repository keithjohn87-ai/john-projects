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6"/>
    </font>
    <font>
      <b val="1"/>
      <sz val="1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FF2F2"/>
        <bgColor rgb="00FFF2F2"/>
      </patternFill>
    </fill>
    <fill>
      <patternFill patternType="solid">
        <fgColor rgb="00E8F8E8"/>
        <bgColor rgb="00E8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0" hidden="0"/>
    </xf>
    <xf numFmtId="0" fontId="5" fillId="0" borderId="0" pivotButton="0" quotePrefix="0" xfId="0"/>
    <xf numFmtId="0" fontId="2" fillId="0" borderId="0" applyProtection="1" pivotButton="0" quotePrefix="0" xfId="0">
      <protection locked="0" hidden="0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Budget - Instructions &amp; Tips</t>
        </is>
      </c>
    </row>
    <row r="3">
      <c r="A3" t="inlineStr">
        <is>
          <t>Quick use:</t>
        </is>
      </c>
    </row>
    <row r="4">
      <c r="A4" t="inlineStr">
        <is>
          <t>- Open this file in Microsoft Excel (iOS recommended) or Google Sheets.</t>
        </is>
      </c>
    </row>
    <row r="5">
      <c r="A5" t="inlineStr">
        <is>
          <t>- Tab 2 contains the interactive Budget (Bills, Savings, Summary).</t>
        </is>
      </c>
    </row>
    <row r="6">
      <c r="A6" t="inlineStr">
        <is>
          <t>- Enter Amount and Unit for bills/savings. Monthly/Weekly equivalents are calculated automatically.</t>
        </is>
      </c>
    </row>
    <row r="7">
      <c r="A7" t="inlineStr">
        <is>
          <t>- For quick mobile edits: tap Amount or Unit cells. No sheet protection applied.</t>
        </is>
      </c>
    </row>
    <row r="8">
      <c r="A8" t="inlineStr">
        <is>
          <t>- Savings projections (30/60/90 days) use the APY value in the Summary area.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4" customWidth="1" min="8" max="8"/>
    <col width="24" customWidth="1" min="9" max="9"/>
    <col width="18" customWidth="1" min="11" max="11"/>
    <col width="18" customWidth="1" min="12" max="12"/>
  </cols>
  <sheetData>
    <row r="1">
      <c r="A1" s="6" t="inlineStr">
        <is>
          <t>Monthly Budget Overview</t>
        </is>
      </c>
    </row>
    <row r="2">
      <c r="A2" s="2" t="inlineStr">
        <is>
          <t>Budget - Month</t>
        </is>
      </c>
      <c r="B2" s="2" t="n"/>
      <c r="C2" s="2" t="n"/>
      <c r="D2" s="2" t="inlineStr">
        <is>
          <t>Amount</t>
        </is>
      </c>
      <c r="E2" s="2" t="inlineStr">
        <is>
          <t>Unit</t>
        </is>
      </c>
      <c r="F2" s="2" t="inlineStr">
        <is>
          <t>Monthly Equivalent</t>
        </is>
      </c>
      <c r="G2" s="2" t="inlineStr">
        <is>
          <t>Weekly Equivalent</t>
        </is>
      </c>
      <c r="H2" s="2" t="n"/>
      <c r="I2" s="2" t="n"/>
    </row>
    <row r="3">
      <c r="A3" s="7" t="inlineStr">
        <is>
          <t>Bills</t>
        </is>
      </c>
    </row>
    <row r="4">
      <c r="A4" s="8" t="inlineStr">
        <is>
          <t>#</t>
        </is>
      </c>
      <c r="B4" s="8" t="inlineStr">
        <is>
          <t>Item</t>
        </is>
      </c>
      <c r="C4" s="8" t="inlineStr">
        <is>
          <t>Type</t>
        </is>
      </c>
      <c r="D4" s="8" t="inlineStr">
        <is>
          <t>Amount</t>
        </is>
      </c>
      <c r="E4" s="8" t="inlineStr">
        <is>
          <t>Unit</t>
        </is>
      </c>
      <c r="F4" s="8" t="inlineStr">
        <is>
          <t>Monthly Equivalent</t>
        </is>
      </c>
      <c r="G4" s="8" t="inlineStr">
        <is>
          <t>Weekly Equivalent</t>
        </is>
      </c>
      <c r="H4" s="8" t="inlineStr">
        <is>
          <t>Due Date</t>
        </is>
      </c>
      <c r="I4" s="8" t="inlineStr">
        <is>
          <t>Notes</t>
        </is>
      </c>
      <c r="K4" s="9" t="inlineStr">
        <is>
          <t>Summary</t>
        </is>
      </c>
    </row>
    <row r="5">
      <c r="A5" s="10" t="n">
        <v>1</v>
      </c>
      <c r="B5" s="11" t="inlineStr"/>
      <c r="C5" s="10" t="inlineStr">
        <is>
          <t>Bill</t>
        </is>
      </c>
      <c r="D5" s="11" t="inlineStr"/>
      <c r="E5" s="11" t="inlineStr">
        <is>
          <t>Weekly</t>
        </is>
      </c>
      <c r="F5" s="10">
        <f>IF(E3="Monthly",D3,IF(E3="Weekly",D3*52/12,IF(E3="Annual",D3/12,IF(E3="One-time",D3/12,D3))))</f>
        <v/>
      </c>
      <c r="G5" s="10">
        <f>IF(E3="Weekly",D3,IF(E3="Monthly",D3*12/52,IF(E3="Annual",D3/52,IF(E3="One-time",D3/30,D3))))</f>
        <v/>
      </c>
      <c r="H5" s="11" t="inlineStr"/>
      <c r="I5" s="11" t="inlineStr"/>
      <c r="K5" s="12" t="inlineStr">
        <is>
          <t>Monthly Income</t>
        </is>
      </c>
      <c r="L5" s="13" t="inlineStr"/>
    </row>
    <row r="6">
      <c r="A6" s="10" t="n">
        <v>2</v>
      </c>
      <c r="B6" s="11" t="inlineStr"/>
      <c r="C6" s="10" t="inlineStr">
        <is>
          <t>Bill</t>
        </is>
      </c>
      <c r="D6" s="11" t="inlineStr"/>
      <c r="E6" s="11" t="inlineStr">
        <is>
          <t>Weekly</t>
        </is>
      </c>
      <c r="F6" s="10">
        <f>IF(E4="Monthly",D4,IF(E4="Weekly",D4*52/12,IF(E4="Annual",D4/12,IF(E4="One-time",D4/12,D4))))</f>
        <v/>
      </c>
      <c r="G6" s="10">
        <f>IF(E4="Weekly",D4,IF(E4="Monthly",D4*12/52,IF(E4="Annual",D4/52,IF(E4="One-time",D4/30,D4))))</f>
        <v/>
      </c>
      <c r="H6" s="11" t="inlineStr"/>
      <c r="I6" s="11" t="inlineStr"/>
      <c r="K6" s="12" t="inlineStr">
        <is>
          <t>Monthly Bills Total</t>
        </is>
      </c>
      <c r="L6">
        <f>SUM(F3:F17)</f>
        <v/>
      </c>
    </row>
    <row r="7">
      <c r="A7" s="10" t="n">
        <v>3</v>
      </c>
      <c r="B7" s="11" t="inlineStr"/>
      <c r="C7" s="10" t="inlineStr">
        <is>
          <t>Bill</t>
        </is>
      </c>
      <c r="D7" s="11" t="inlineStr"/>
      <c r="E7" s="11" t="inlineStr">
        <is>
          <t>Weekly</t>
        </is>
      </c>
      <c r="F7" s="10">
        <f>IF(E5="Monthly",D5,IF(E5="Weekly",D5*52/12,IF(E5="Annual",D5/12,IF(E5="One-time",D5/12,D5))))</f>
        <v/>
      </c>
      <c r="G7" s="10">
        <f>IF(E5="Weekly",D5,IF(E5="Monthly",D5*12/52,IF(E5="Annual",D5/52,IF(E5="One-time",D5/30,D5))))</f>
        <v/>
      </c>
      <c r="H7" s="11" t="inlineStr"/>
      <c r="I7" s="11" t="inlineStr"/>
      <c r="K7" s="12" t="inlineStr">
        <is>
          <t>Monthly Savings Total</t>
        </is>
      </c>
      <c r="L7">
        <f>SUM(F19:F24)</f>
        <v/>
      </c>
    </row>
    <row r="8">
      <c r="A8" s="10" t="n">
        <v>4</v>
      </c>
      <c r="B8" s="11" t="inlineStr"/>
      <c r="C8" s="10" t="inlineStr">
        <is>
          <t>Bill</t>
        </is>
      </c>
      <c r="D8" s="11" t="inlineStr"/>
      <c r="E8" s="11" t="inlineStr">
        <is>
          <t>Weekly</t>
        </is>
      </c>
      <c r="F8" s="10">
        <f>IF(E6="Monthly",D6,IF(E6="Weekly",D6*52/12,IF(E6="Annual",D6/12,IF(E6="One-time",D6/12,D6))))</f>
        <v/>
      </c>
      <c r="G8" s="10">
        <f>IF(E6="Weekly",D6,IF(E6="Monthly",D6*12/52,IF(E6="Annual",D6/52,IF(E6="One-time",D6/30,D6))))</f>
        <v/>
      </c>
      <c r="H8" s="11" t="inlineStr"/>
      <c r="I8" s="11" t="inlineStr"/>
      <c r="K8" s="12" t="inlineStr">
        <is>
          <t>Monthly Total Out</t>
        </is>
      </c>
      <c r="L8">
        <f>L4+L5</f>
        <v/>
      </c>
    </row>
    <row r="9">
      <c r="A9" s="10" t="n">
        <v>5</v>
      </c>
      <c r="B9" s="11" t="inlineStr"/>
      <c r="C9" s="10" t="inlineStr">
        <is>
          <t>Bill</t>
        </is>
      </c>
      <c r="D9" s="11" t="inlineStr"/>
      <c r="E9" s="11" t="inlineStr">
        <is>
          <t>Weekly</t>
        </is>
      </c>
      <c r="F9" s="10">
        <f>IF(E7="Monthly",D7,IF(E7="Weekly",D7*52/12,IF(E7="Annual",D7/12,IF(E7="One-time",D7/12,D7))))</f>
        <v/>
      </c>
      <c r="G9" s="10">
        <f>IF(E7="Weekly",D7,IF(E7="Monthly",D7*12/52,IF(E7="Annual",D7/52,IF(E7="One-time",D7/30,D7))))</f>
        <v/>
      </c>
      <c r="H9" s="11" t="inlineStr"/>
      <c r="I9" s="11" t="inlineStr"/>
      <c r="K9" s="12" t="inlineStr">
        <is>
          <t>Leftover (Monthly)</t>
        </is>
      </c>
      <c r="L9">
        <f>L3-L6</f>
        <v/>
      </c>
    </row>
    <row r="10">
      <c r="A10" s="10" t="n">
        <v>6</v>
      </c>
      <c r="B10" s="11" t="inlineStr"/>
      <c r="C10" s="10" t="inlineStr">
        <is>
          <t>Bill</t>
        </is>
      </c>
      <c r="D10" s="11" t="inlineStr"/>
      <c r="E10" s="11" t="inlineStr">
        <is>
          <t>Weekly</t>
        </is>
      </c>
      <c r="F10" s="10">
        <f>IF(E8="Monthly",D8,IF(E8="Weekly",D8*52/12,IF(E8="Annual",D8/12,IF(E8="One-time",D8/12,D8))))</f>
        <v/>
      </c>
      <c r="G10" s="10">
        <f>IF(E8="Weekly",D8,IF(E8="Monthly",D8*12/52,IF(E8="Annual",D8/52,IF(E8="One-time",D8/30,D8))))</f>
        <v/>
      </c>
      <c r="H10" s="11" t="inlineStr"/>
      <c r="I10" s="11" t="inlineStr"/>
      <c r="K10" s="12" t="inlineStr">
        <is>
          <t>Leftover (Weekly)</t>
        </is>
      </c>
      <c r="L10">
        <f>L7*12/52</f>
        <v/>
      </c>
    </row>
    <row r="11">
      <c r="A11" s="10" t="n">
        <v>7</v>
      </c>
      <c r="B11" s="11" t="inlineStr"/>
      <c r="C11" s="10" t="inlineStr">
        <is>
          <t>Bill</t>
        </is>
      </c>
      <c r="D11" s="11" t="inlineStr"/>
      <c r="E11" s="11" t="inlineStr">
        <is>
          <t>Weekly</t>
        </is>
      </c>
      <c r="F11" s="10">
        <f>IF(E9="Monthly",D9,IF(E9="Weekly",D9*52/12,IF(E9="Annual",D9/12,IF(E9="One-time",D9/12,D9))))</f>
        <v/>
      </c>
      <c r="G11" s="10">
        <f>IF(E9="Weekly",D9,IF(E9="Monthly",D9*12/52,IF(E9="Annual",D9/52,IF(E9="One-time",D9/30,D9))))</f>
        <v/>
      </c>
      <c r="H11" s="11" t="inlineStr"/>
      <c r="I11" s="11" t="inlineStr"/>
      <c r="K11" s="12" t="inlineStr">
        <is>
          <t>% of Income Used</t>
        </is>
      </c>
      <c r="L11">
        <f>IF(L3=0,0,L6/L3)</f>
        <v/>
      </c>
    </row>
    <row r="12">
      <c r="A12" s="10" t="n">
        <v>8</v>
      </c>
      <c r="B12" s="11" t="inlineStr"/>
      <c r="C12" s="10" t="inlineStr">
        <is>
          <t>Bill</t>
        </is>
      </c>
      <c r="D12" s="11" t="inlineStr"/>
      <c r="E12" s="11" t="inlineStr">
        <is>
          <t>Weekly</t>
        </is>
      </c>
      <c r="F12" s="10">
        <f>IF(E10="Monthly",D10,IF(E10="Weekly",D10*52/12,IF(E10="Annual",D10/12,IF(E10="One-time",D10/12,D10))))</f>
        <v/>
      </c>
      <c r="G12" s="10">
        <f>IF(E10="Weekly",D10,IF(E10="Monthly",D10*12/52,IF(E10="Annual",D10/52,IF(E10="One-time",D10/30,D10))))</f>
        <v/>
      </c>
      <c r="H12" s="11" t="inlineStr"/>
      <c r="I12" s="11" t="inlineStr"/>
      <c r="K12" t="inlineStr">
        <is>
          <t>Savings APY (%)</t>
        </is>
      </c>
      <c r="L12" s="4" t="n">
        <v>0.5</v>
      </c>
    </row>
    <row r="13">
      <c r="A13" s="10" t="n">
        <v>9</v>
      </c>
      <c r="B13" s="11" t="inlineStr"/>
      <c r="C13" s="10" t="inlineStr">
        <is>
          <t>Bill</t>
        </is>
      </c>
      <c r="D13" s="11" t="inlineStr"/>
      <c r="E13" s="11" t="inlineStr">
        <is>
          <t>Weekly</t>
        </is>
      </c>
      <c r="F13" s="10">
        <f>IF(E11="Monthly",D11,IF(E11="Weekly",D11*52/12,IF(E11="Annual",D11/12,IF(E11="One-time",D11/12,D11))))</f>
        <v/>
      </c>
      <c r="G13" s="10">
        <f>IF(E11="Weekly",D11,IF(E11="Monthly",D11*12/52,IF(E11="Annual",D11/52,IF(E11="One-time",D11/30,D11))))</f>
        <v/>
      </c>
      <c r="H13" s="11" t="inlineStr"/>
      <c r="I13" s="11" t="inlineStr"/>
      <c r="K13" t="inlineStr">
        <is>
          <t>Current Savings Balance</t>
        </is>
      </c>
      <c r="L13" s="4" t="n">
        <v>0</v>
      </c>
    </row>
    <row r="14">
      <c r="A14" s="10" t="n">
        <v>10</v>
      </c>
      <c r="B14" s="11" t="inlineStr"/>
      <c r="C14" s="10" t="inlineStr">
        <is>
          <t>Bill</t>
        </is>
      </c>
      <c r="D14" s="11" t="inlineStr"/>
      <c r="E14" s="11" t="inlineStr">
        <is>
          <t>Weekly</t>
        </is>
      </c>
      <c r="F14" s="10">
        <f>IF(E12="Monthly",D12,IF(E12="Weekly",D12*52/12,IF(E12="Annual",D12/12,IF(E12="One-time",D12/12,D12))))</f>
        <v/>
      </c>
      <c r="G14" s="10">
        <f>IF(E12="Weekly",D12,IF(E12="Monthly",D12*12/52,IF(E12="Annual",D12/52,IF(E12="One-time",D12/30,D12))))</f>
        <v/>
      </c>
      <c r="H14" s="11" t="inlineStr"/>
      <c r="I14" s="11" t="inlineStr"/>
    </row>
    <row r="15">
      <c r="A15" s="10" t="n">
        <v>11</v>
      </c>
      <c r="B15" s="11" t="inlineStr"/>
      <c r="C15" s="10" t="inlineStr">
        <is>
          <t>Bill</t>
        </is>
      </c>
      <c r="D15" s="11" t="inlineStr"/>
      <c r="E15" s="11" t="inlineStr">
        <is>
          <t>Weekly</t>
        </is>
      </c>
      <c r="F15" s="10">
        <f>IF(E13="Monthly",D13,IF(E13="Weekly",D13*52/12,IF(E13="Annual",D13/12,IF(E13="One-time",D13/12,D13))))</f>
        <v/>
      </c>
      <c r="G15" s="10">
        <f>IF(E13="Weekly",D13,IF(E13="Monthly",D13*12/52,IF(E13="Annual",D13/52,IF(E13="One-time",D13/30,D13))))</f>
        <v/>
      </c>
      <c r="H15" s="11" t="inlineStr"/>
      <c r="I15" s="11" t="inlineStr"/>
      <c r="K15" t="inlineStr">
        <is>
          <t>30-day Projection</t>
        </is>
      </c>
      <c r="L15">
        <f>FV(L10/100/365,30,-(L5/30),-(L11),0)</f>
        <v/>
      </c>
    </row>
    <row r="16">
      <c r="A16" s="10" t="n">
        <v>12</v>
      </c>
      <c r="B16" s="11" t="inlineStr"/>
      <c r="C16" s="10" t="inlineStr">
        <is>
          <t>Bill</t>
        </is>
      </c>
      <c r="D16" s="11" t="inlineStr"/>
      <c r="E16" s="11" t="inlineStr">
        <is>
          <t>Weekly</t>
        </is>
      </c>
      <c r="F16" s="10">
        <f>IF(E14="Monthly",D14,IF(E14="Weekly",D14*52/12,IF(E14="Annual",D14/12,IF(E14="One-time",D14/12,D14))))</f>
        <v/>
      </c>
      <c r="G16" s="10">
        <f>IF(E14="Weekly",D14,IF(E14="Monthly",D14*12/52,IF(E14="Annual",D14/52,IF(E14="One-time",D14/30,D14))))</f>
        <v/>
      </c>
      <c r="H16" s="11" t="inlineStr"/>
      <c r="I16" s="11" t="inlineStr"/>
      <c r="K16" t="inlineStr">
        <is>
          <t>60-day Projection</t>
        </is>
      </c>
      <c r="L16">
        <f>FV(L10/100/365,60,-(L5/30),-(L11),0)</f>
        <v/>
      </c>
    </row>
    <row r="17">
      <c r="A17" s="10" t="n">
        <v>13</v>
      </c>
      <c r="B17" s="11" t="inlineStr"/>
      <c r="C17" s="10" t="inlineStr">
        <is>
          <t>Bill</t>
        </is>
      </c>
      <c r="D17" s="11" t="inlineStr"/>
      <c r="E17" s="11" t="inlineStr">
        <is>
          <t>Weekly</t>
        </is>
      </c>
      <c r="F17" s="10">
        <f>IF(E15="Monthly",D15,IF(E15="Weekly",D15*52/12,IF(E15="Annual",D15/12,IF(E15="One-time",D15/12,D15))))</f>
        <v/>
      </c>
      <c r="G17" s="10">
        <f>IF(E15="Weekly",D15,IF(E15="Monthly",D15*12/52,IF(E15="Annual",D15/52,IF(E15="One-time",D15/30,D15))))</f>
        <v/>
      </c>
      <c r="H17" s="11" t="inlineStr"/>
      <c r="I17" s="11" t="inlineStr"/>
      <c r="K17" t="inlineStr">
        <is>
          <t>90-day Projection</t>
        </is>
      </c>
      <c r="L17">
        <f>FV(L10/100/365,90,-(L5/30),-(L11),0)</f>
        <v/>
      </c>
    </row>
    <row r="18">
      <c r="A18" s="10" t="n">
        <v>14</v>
      </c>
      <c r="B18" s="11" t="inlineStr"/>
      <c r="C18" s="10" t="inlineStr">
        <is>
          <t>Bill</t>
        </is>
      </c>
      <c r="D18" s="11" t="inlineStr"/>
      <c r="E18" s="11" t="inlineStr">
        <is>
          <t>Weekly</t>
        </is>
      </c>
      <c r="F18" s="10">
        <f>IF(E16="Monthly",D16,IF(E16="Weekly",D16*52/12,IF(E16="Annual",D16/12,IF(E16="One-time",D16/12,D16))))</f>
        <v/>
      </c>
      <c r="G18" s="10">
        <f>IF(E16="Weekly",D16,IF(E16="Monthly",D16*12/52,IF(E16="Annual",D16/52,IF(E16="One-time",D16/30,D16))))</f>
        <v/>
      </c>
      <c r="H18" s="11" t="inlineStr"/>
      <c r="I18" s="11" t="inlineStr"/>
    </row>
    <row r="19">
      <c r="A19" s="10" t="n">
        <v>15</v>
      </c>
      <c r="B19" s="11" t="inlineStr"/>
      <c r="C19" s="10" t="inlineStr">
        <is>
          <t>Bill</t>
        </is>
      </c>
      <c r="D19" s="11" t="inlineStr"/>
      <c r="E19" s="11" t="inlineStr">
        <is>
          <t>Weekly</t>
        </is>
      </c>
      <c r="F19" s="10">
        <f>IF(E17="Monthly",D17,IF(E17="Weekly",D17*52/12,IF(E17="Annual",D17/12,IF(E17="One-time",D17/12,D17))))</f>
        <v/>
      </c>
      <c r="G19" s="10">
        <f>IF(E17="Weekly",D17,IF(E17="Monthly",D17*12/52,IF(E17="Annual",D17/52,IF(E17="One-time",D17/30,D17))))</f>
        <v/>
      </c>
      <c r="H19" s="11" t="inlineStr"/>
      <c r="I19" s="11" t="inlineStr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7" t="inlineStr">
        <is>
          <t>Savings</t>
        </is>
      </c>
    </row>
    <row r="22">
      <c r="A22" s="14" t="inlineStr">
        <is>
          <t>S1</t>
        </is>
      </c>
      <c r="B22" s="15" t="inlineStr"/>
      <c r="C22" s="14" t="inlineStr">
        <is>
          <t>Saving</t>
        </is>
      </c>
      <c r="D22" s="15" t="inlineStr"/>
      <c r="E22" s="15" t="inlineStr">
        <is>
          <t>Monthly</t>
        </is>
      </c>
      <c r="F22" s="14">
        <f>IF(E19="Monthly",D19,IF(E19="Weekly",D19*52/12,IF(E19="Annual",D19/12,IF(E19="One-time",D19/12,D19))))</f>
        <v/>
      </c>
      <c r="G22" s="14">
        <f>IF(E19="Weekly",D19,IF(E19="Monthly",D19*12/52,IF(E19="Annual",D19/52,IF(E19="One-time",D19/30,D19))))</f>
        <v/>
      </c>
      <c r="H22" s="15" t="inlineStr"/>
      <c r="I22" s="15" t="inlineStr"/>
    </row>
    <row r="23">
      <c r="A23" s="14" t="inlineStr">
        <is>
          <t>S2</t>
        </is>
      </c>
      <c r="B23" s="15" t="inlineStr"/>
      <c r="C23" s="14" t="inlineStr">
        <is>
          <t>Saving</t>
        </is>
      </c>
      <c r="D23" s="15" t="inlineStr"/>
      <c r="E23" s="15" t="inlineStr">
        <is>
          <t>Monthly</t>
        </is>
      </c>
      <c r="F23" s="14">
        <f>IF(E20="Monthly",D20,IF(E20="Weekly",D20*52/12,IF(E20="Annual",D20/12,IF(E20="One-time",D20/12,D20))))</f>
        <v/>
      </c>
      <c r="G23" s="14">
        <f>IF(E20="Weekly",D20,IF(E20="Monthly",D20*12/52,IF(E20="Annual",D20/52,IF(E20="One-time",D20/30,D20))))</f>
        <v/>
      </c>
      <c r="H23" s="15" t="inlineStr"/>
      <c r="I23" s="15" t="inlineStr"/>
    </row>
    <row r="24">
      <c r="A24" s="14" t="inlineStr">
        <is>
          <t>S3</t>
        </is>
      </c>
      <c r="B24" s="15" t="inlineStr"/>
      <c r="C24" s="14" t="inlineStr">
        <is>
          <t>Saving</t>
        </is>
      </c>
      <c r="D24" s="15" t="inlineStr"/>
      <c r="E24" s="15" t="inlineStr">
        <is>
          <t>Monthly</t>
        </is>
      </c>
      <c r="F24" s="14">
        <f>IF(E21="Monthly",D21,IF(E21="Weekly",D21*52/12,IF(E21="Annual",D21/12,IF(E21="One-time",D21/12,D21))))</f>
        <v/>
      </c>
      <c r="G24" s="14">
        <f>IF(E21="Weekly",D21,IF(E21="Monthly",D21*12/52,IF(E21="Annual",D21/52,IF(E21="One-time",D21/30,D21))))</f>
        <v/>
      </c>
      <c r="H24" s="15" t="inlineStr"/>
      <c r="I24" s="15" t="inlineStr"/>
    </row>
    <row r="25">
      <c r="A25" s="14" t="inlineStr">
        <is>
          <t>S4</t>
        </is>
      </c>
      <c r="B25" s="15" t="inlineStr"/>
      <c r="C25" s="14" t="inlineStr">
        <is>
          <t>Saving</t>
        </is>
      </c>
      <c r="D25" s="15" t="inlineStr"/>
      <c r="E25" s="15" t="inlineStr">
        <is>
          <t>Monthly</t>
        </is>
      </c>
      <c r="F25" s="14">
        <f>IF(E22="Monthly",D22,IF(E22="Weekly",D22*52/12,IF(E22="Annual",D22/12,IF(E22="One-time",D22/12,D22))))</f>
        <v/>
      </c>
      <c r="G25" s="14">
        <f>IF(E22="Weekly",D22,IF(E22="Monthly",D22*12/52,IF(E22="Annual",D22/52,IF(E22="One-time",D22/30,D22))))</f>
        <v/>
      </c>
      <c r="H25" s="15" t="inlineStr"/>
      <c r="I25" s="15" t="inlineStr"/>
    </row>
    <row r="26">
      <c r="A26" s="14" t="inlineStr">
        <is>
          <t>S5</t>
        </is>
      </c>
      <c r="B26" s="15" t="inlineStr"/>
      <c r="C26" s="14" t="inlineStr">
        <is>
          <t>Saving</t>
        </is>
      </c>
      <c r="D26" s="15" t="inlineStr"/>
      <c r="E26" s="15" t="inlineStr">
        <is>
          <t>Monthly</t>
        </is>
      </c>
      <c r="F26" s="14">
        <f>IF(E23="Monthly",D23,IF(E23="Weekly",D23*52/12,IF(E23="Annual",D23/12,IF(E23="One-time",D23/12,D23))))</f>
        <v/>
      </c>
      <c r="G26" s="14">
        <f>IF(E23="Weekly",D23,IF(E23="Monthly",D23*12/52,IF(E23="Annual",D23/52,IF(E23="One-time",D23/30,D23))))</f>
        <v/>
      </c>
      <c r="H26" s="15" t="inlineStr"/>
      <c r="I26" s="15" t="inlineStr"/>
    </row>
    <row r="27">
      <c r="A27" s="14" t="inlineStr">
        <is>
          <t>S6</t>
        </is>
      </c>
      <c r="B27" s="15" t="inlineStr"/>
      <c r="C27" s="14" t="inlineStr">
        <is>
          <t>Saving</t>
        </is>
      </c>
      <c r="D27" s="15" t="inlineStr"/>
      <c r="E27" s="15" t="inlineStr">
        <is>
          <t>Monthly</t>
        </is>
      </c>
      <c r="F27" s="14">
        <f>IF(E24="Monthly",D24,IF(E24="Weekly",D24*52/12,IF(E24="Annual",D24/12,IF(E24="One-time",D24/12,D24))))</f>
        <v/>
      </c>
      <c r="G27" s="14">
        <f>IF(E24="Weekly",D24,IF(E24="Monthly",D24*12/52,IF(E24="Annual",D24/52,IF(E24="One-time",D24/30,D24))))</f>
        <v/>
      </c>
      <c r="H27" s="15" t="inlineStr"/>
      <c r="I27" s="15" t="inlineStr"/>
    </row>
    <row r="28">
      <c r="A28" s="5" t="inlineStr">
        <is>
          <t>Quick tips: Enter Amount and choose Frequency (Monthly/Weekly/Annual/One-time). Income in Summary is monthly. On mobile, tap cells in Amount or Frequency to edit.</t>
        </is>
      </c>
    </row>
  </sheetData>
  <mergeCells count="3">
    <mergeCell ref="A1:I1"/>
    <mergeCell ref="A21:I21"/>
    <mergeCell ref="A3:I3"/>
  </mergeCells>
  <dataValidations count="1">
    <dataValidation sqref="E3 E4 E5 E6 E7 E8 E9 E10 E11 E12 E13 E14 E15 E16 E17 E19 E20 E21 E22 E23 E24" showDropDown="0" showInputMessage="0" showErrorMessage="0" allowBlank="0" type="list">
      <formula1>"Weekly,Monthly,Annual,One-time"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2026-03-24T12:16:44Z</dcterms:created>
  <dcterms:modified xsi:type="dcterms:W3CDTF">2026-03-24T19:46:33Z</dcterms:modified>
</cp:coreProperties>
</file>