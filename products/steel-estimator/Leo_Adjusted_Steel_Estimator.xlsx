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lflynn\Documents\TRS\Jon\"/>
    </mc:Choice>
  </mc:AlternateContent>
  <xr:revisionPtr revIDLastSave="0" documentId="13_ncr:1_{5B8854FF-14D3-4D86-83F4-DB9449A96C6A}" xr6:coauthVersionLast="47" xr6:coauthVersionMax="47" xr10:uidLastSave="{00000000-0000-0000-0000-000000000000}"/>
  <bookViews>
    <workbookView xWindow="21675" yWindow="-16395" windowWidth="29040" windowHeight="15720" xr2:uid="{00000000-000D-0000-FFFF-FFFF00000000}"/>
  </bookViews>
  <sheets>
    <sheet name="1-Project Setup" sheetId="1" r:id="rId1"/>
    <sheet name="2-Fabrication" sheetId="2" r:id="rId2"/>
    <sheet name="3-Erection" sheetId="3" r:id="rId3"/>
    <sheet name="4-Summary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8" i="4" l="1"/>
  <c r="B30" i="4"/>
  <c r="B29" i="4"/>
  <c r="B27" i="4"/>
  <c r="B19" i="4"/>
  <c r="B18" i="4"/>
  <c r="B12" i="4"/>
  <c r="B13" i="4"/>
  <c r="H14" i="3"/>
  <c r="H6" i="3"/>
  <c r="L14" i="3"/>
  <c r="N14" i="3"/>
  <c r="I2" i="2"/>
  <c r="M2" i="2"/>
  <c r="L2" i="2"/>
  <c r="O2" i="2"/>
  <c r="O78" i="2" s="1"/>
  <c r="B32" i="1"/>
  <c r="D20" i="1"/>
  <c r="D12" i="4"/>
  <c r="B11" i="4"/>
  <c r="B5" i="4"/>
  <c r="H31" i="3"/>
  <c r="J31" i="3" s="1"/>
  <c r="L31" i="3" s="1"/>
  <c r="N31" i="3" s="1"/>
  <c r="H30" i="3"/>
  <c r="J30" i="3" s="1"/>
  <c r="L30" i="3" s="1"/>
  <c r="N30" i="3" s="1"/>
  <c r="H29" i="3"/>
  <c r="J29" i="3" s="1"/>
  <c r="L29" i="3" s="1"/>
  <c r="N29" i="3" s="1"/>
  <c r="H28" i="3"/>
  <c r="J28" i="3" s="1"/>
  <c r="L28" i="3" s="1"/>
  <c r="N28" i="3" s="1"/>
  <c r="H27" i="3"/>
  <c r="J27" i="3" s="1"/>
  <c r="L27" i="3" s="1"/>
  <c r="N27" i="3" s="1"/>
  <c r="H26" i="3"/>
  <c r="J26" i="3" s="1"/>
  <c r="L26" i="3" s="1"/>
  <c r="N26" i="3" s="1"/>
  <c r="H25" i="3"/>
  <c r="J25" i="3" s="1"/>
  <c r="L25" i="3" s="1"/>
  <c r="N25" i="3" s="1"/>
  <c r="H24" i="3"/>
  <c r="J24" i="3" s="1"/>
  <c r="L24" i="3" s="1"/>
  <c r="N24" i="3" s="1"/>
  <c r="H23" i="3"/>
  <c r="J23" i="3" s="1"/>
  <c r="L23" i="3" s="1"/>
  <c r="N23" i="3" s="1"/>
  <c r="H22" i="3"/>
  <c r="J22" i="3" s="1"/>
  <c r="L22" i="3" s="1"/>
  <c r="N22" i="3" s="1"/>
  <c r="H21" i="3"/>
  <c r="J21" i="3" s="1"/>
  <c r="L21" i="3" s="1"/>
  <c r="N21" i="3" s="1"/>
  <c r="H20" i="3"/>
  <c r="J20" i="3" s="1"/>
  <c r="L20" i="3" s="1"/>
  <c r="N20" i="3" s="1"/>
  <c r="H19" i="3"/>
  <c r="J19" i="3" s="1"/>
  <c r="L19" i="3" s="1"/>
  <c r="N19" i="3" s="1"/>
  <c r="H18" i="3"/>
  <c r="J18" i="3" s="1"/>
  <c r="L18" i="3" s="1"/>
  <c r="N18" i="3" s="1"/>
  <c r="H17" i="3"/>
  <c r="J17" i="3" s="1"/>
  <c r="L17" i="3" s="1"/>
  <c r="N17" i="3" s="1"/>
  <c r="H16" i="3"/>
  <c r="J16" i="3" s="1"/>
  <c r="L16" i="3" s="1"/>
  <c r="N16" i="3" s="1"/>
  <c r="H15" i="3"/>
  <c r="J15" i="3" s="1"/>
  <c r="L15" i="3" s="1"/>
  <c r="N15" i="3" s="1"/>
  <c r="J14" i="3"/>
  <c r="H13" i="3"/>
  <c r="J13" i="3" s="1"/>
  <c r="L13" i="3" s="1"/>
  <c r="N13" i="3" s="1"/>
  <c r="H12" i="3"/>
  <c r="J12" i="3" s="1"/>
  <c r="L12" i="3" s="1"/>
  <c r="N12" i="3" s="1"/>
  <c r="H11" i="3"/>
  <c r="J11" i="3" s="1"/>
  <c r="L11" i="3" s="1"/>
  <c r="N11" i="3" s="1"/>
  <c r="H10" i="3"/>
  <c r="J10" i="3" s="1"/>
  <c r="L10" i="3" s="1"/>
  <c r="N10" i="3" s="1"/>
  <c r="H9" i="3"/>
  <c r="J9" i="3" s="1"/>
  <c r="L9" i="3" s="1"/>
  <c r="N9" i="3" s="1"/>
  <c r="H8" i="3"/>
  <c r="J8" i="3" s="1"/>
  <c r="L8" i="3" s="1"/>
  <c r="N8" i="3" s="1"/>
  <c r="H7" i="3"/>
  <c r="J7" i="3" s="1"/>
  <c r="L7" i="3" s="1"/>
  <c r="N7" i="3" s="1"/>
  <c r="J6" i="3"/>
  <c r="L6" i="3" s="1"/>
  <c r="N6" i="3" s="1"/>
  <c r="H5" i="3"/>
  <c r="J5" i="3" s="1"/>
  <c r="L5" i="3" s="1"/>
  <c r="N5" i="3" s="1"/>
  <c r="H4" i="3"/>
  <c r="J4" i="3" s="1"/>
  <c r="L4" i="3" s="1"/>
  <c r="N4" i="3" s="1"/>
  <c r="H3" i="3"/>
  <c r="J3" i="3" s="1"/>
  <c r="L3" i="3" s="1"/>
  <c r="N3" i="3" s="1"/>
  <c r="H2" i="3"/>
  <c r="J2" i="3" s="1"/>
  <c r="L2" i="3" s="1"/>
  <c r="N2" i="3" s="1"/>
  <c r="L76" i="2"/>
  <c r="I76" i="2"/>
  <c r="M76" i="2" s="1"/>
  <c r="O76" i="2" s="1"/>
  <c r="L75" i="2"/>
  <c r="M75" i="2" s="1"/>
  <c r="O75" i="2" s="1"/>
  <c r="I75" i="2"/>
  <c r="L74" i="2"/>
  <c r="I74" i="2"/>
  <c r="M74" i="2" s="1"/>
  <c r="O74" i="2" s="1"/>
  <c r="L73" i="2"/>
  <c r="I73" i="2"/>
  <c r="M73" i="2" s="1"/>
  <c r="O73" i="2" s="1"/>
  <c r="L72" i="2"/>
  <c r="I72" i="2"/>
  <c r="M72" i="2" s="1"/>
  <c r="O72" i="2" s="1"/>
  <c r="L71" i="2"/>
  <c r="I71" i="2"/>
  <c r="M71" i="2" s="1"/>
  <c r="O71" i="2" s="1"/>
  <c r="L70" i="2"/>
  <c r="I70" i="2"/>
  <c r="M70" i="2" s="1"/>
  <c r="O70" i="2" s="1"/>
  <c r="L69" i="2"/>
  <c r="I69" i="2"/>
  <c r="M69" i="2" s="1"/>
  <c r="O69" i="2" s="1"/>
  <c r="L68" i="2"/>
  <c r="I68" i="2"/>
  <c r="M68" i="2" s="1"/>
  <c r="O68" i="2" s="1"/>
  <c r="L67" i="2"/>
  <c r="I67" i="2"/>
  <c r="M67" i="2" s="1"/>
  <c r="O67" i="2" s="1"/>
  <c r="L66" i="2"/>
  <c r="I66" i="2"/>
  <c r="M66" i="2" s="1"/>
  <c r="O66" i="2" s="1"/>
  <c r="L65" i="2"/>
  <c r="I65" i="2"/>
  <c r="M65" i="2" s="1"/>
  <c r="O65" i="2" s="1"/>
  <c r="L64" i="2"/>
  <c r="I64" i="2"/>
  <c r="M64" i="2" s="1"/>
  <c r="O64" i="2" s="1"/>
  <c r="L63" i="2"/>
  <c r="I63" i="2"/>
  <c r="M63" i="2" s="1"/>
  <c r="O63" i="2" s="1"/>
  <c r="L62" i="2"/>
  <c r="I62" i="2"/>
  <c r="M62" i="2" s="1"/>
  <c r="O62" i="2" s="1"/>
  <c r="L61" i="2"/>
  <c r="I61" i="2"/>
  <c r="M61" i="2" s="1"/>
  <c r="O61" i="2" s="1"/>
  <c r="L60" i="2"/>
  <c r="I60" i="2"/>
  <c r="M60" i="2" s="1"/>
  <c r="O60" i="2" s="1"/>
  <c r="L58" i="2"/>
  <c r="I58" i="2"/>
  <c r="M58" i="2" s="1"/>
  <c r="O58" i="2" s="1"/>
  <c r="L57" i="2"/>
  <c r="I57" i="2"/>
  <c r="M57" i="2" s="1"/>
  <c r="O57" i="2" s="1"/>
  <c r="L56" i="2"/>
  <c r="I56" i="2"/>
  <c r="M56" i="2" s="1"/>
  <c r="O56" i="2" s="1"/>
  <c r="L55" i="2"/>
  <c r="I55" i="2"/>
  <c r="M55" i="2" s="1"/>
  <c r="O55" i="2" s="1"/>
  <c r="L54" i="2"/>
  <c r="I54" i="2"/>
  <c r="M54" i="2" s="1"/>
  <c r="O54" i="2" s="1"/>
  <c r="L53" i="2"/>
  <c r="I53" i="2"/>
  <c r="M53" i="2" s="1"/>
  <c r="O53" i="2" s="1"/>
  <c r="L52" i="2"/>
  <c r="I52" i="2"/>
  <c r="M52" i="2" s="1"/>
  <c r="O52" i="2" s="1"/>
  <c r="L51" i="2"/>
  <c r="I51" i="2"/>
  <c r="M51" i="2" s="1"/>
  <c r="O51" i="2" s="1"/>
  <c r="L50" i="2"/>
  <c r="I50" i="2"/>
  <c r="M50" i="2" s="1"/>
  <c r="O50" i="2" s="1"/>
  <c r="L49" i="2"/>
  <c r="I49" i="2"/>
  <c r="M49" i="2" s="1"/>
  <c r="O49" i="2" s="1"/>
  <c r="L48" i="2"/>
  <c r="I48" i="2"/>
  <c r="M48" i="2" s="1"/>
  <c r="O48" i="2" s="1"/>
  <c r="L47" i="2"/>
  <c r="I47" i="2"/>
  <c r="M47" i="2" s="1"/>
  <c r="O47" i="2" s="1"/>
  <c r="L46" i="2"/>
  <c r="I46" i="2"/>
  <c r="M46" i="2" s="1"/>
  <c r="O46" i="2" s="1"/>
  <c r="L45" i="2"/>
  <c r="I45" i="2"/>
  <c r="M45" i="2" s="1"/>
  <c r="O45" i="2" s="1"/>
  <c r="L44" i="2"/>
  <c r="I44" i="2"/>
  <c r="M44" i="2" s="1"/>
  <c r="O44" i="2" s="1"/>
  <c r="L43" i="2"/>
  <c r="I43" i="2"/>
  <c r="M43" i="2" s="1"/>
  <c r="O43" i="2" s="1"/>
  <c r="L42" i="2"/>
  <c r="I42" i="2"/>
  <c r="M42" i="2" s="1"/>
  <c r="O42" i="2" s="1"/>
  <c r="L41" i="2"/>
  <c r="I41" i="2"/>
  <c r="M41" i="2" s="1"/>
  <c r="O41" i="2" s="1"/>
  <c r="L40" i="2"/>
  <c r="I40" i="2"/>
  <c r="M40" i="2" s="1"/>
  <c r="O40" i="2" s="1"/>
  <c r="L39" i="2"/>
  <c r="I39" i="2"/>
  <c r="M39" i="2" s="1"/>
  <c r="O39" i="2" s="1"/>
  <c r="L38" i="2"/>
  <c r="I38" i="2"/>
  <c r="M38" i="2" s="1"/>
  <c r="O38" i="2" s="1"/>
  <c r="L37" i="2"/>
  <c r="I37" i="2"/>
  <c r="M37" i="2" s="1"/>
  <c r="O37" i="2" s="1"/>
  <c r="L36" i="2"/>
  <c r="I36" i="2"/>
  <c r="M36" i="2" s="1"/>
  <c r="O36" i="2" s="1"/>
  <c r="L35" i="2"/>
  <c r="I35" i="2"/>
  <c r="M35" i="2" s="1"/>
  <c r="O35" i="2" s="1"/>
  <c r="L34" i="2"/>
  <c r="I34" i="2"/>
  <c r="M34" i="2" s="1"/>
  <c r="O34" i="2" s="1"/>
  <c r="L33" i="2"/>
  <c r="I33" i="2"/>
  <c r="M33" i="2" s="1"/>
  <c r="O33" i="2" s="1"/>
  <c r="L32" i="2"/>
  <c r="I32" i="2"/>
  <c r="M32" i="2" s="1"/>
  <c r="O32" i="2" s="1"/>
  <c r="L31" i="2"/>
  <c r="I31" i="2"/>
  <c r="M31" i="2" s="1"/>
  <c r="O31" i="2" s="1"/>
  <c r="L30" i="2"/>
  <c r="I30" i="2"/>
  <c r="M30" i="2" s="1"/>
  <c r="O30" i="2" s="1"/>
  <c r="L29" i="2"/>
  <c r="I29" i="2"/>
  <c r="M29" i="2" s="1"/>
  <c r="O29" i="2" s="1"/>
  <c r="L28" i="2"/>
  <c r="M28" i="2" s="1"/>
  <c r="O28" i="2" s="1"/>
  <c r="I28" i="2"/>
  <c r="L27" i="2"/>
  <c r="I27" i="2"/>
  <c r="M27" i="2" s="1"/>
  <c r="O27" i="2" s="1"/>
  <c r="L26" i="2"/>
  <c r="I26" i="2"/>
  <c r="M26" i="2" s="1"/>
  <c r="O26" i="2" s="1"/>
  <c r="L25" i="2"/>
  <c r="I25" i="2"/>
  <c r="M25" i="2" s="1"/>
  <c r="O25" i="2" s="1"/>
  <c r="L24" i="2"/>
  <c r="I24" i="2"/>
  <c r="M24" i="2" s="1"/>
  <c r="O24" i="2" s="1"/>
  <c r="L23" i="2"/>
  <c r="I23" i="2"/>
  <c r="M23" i="2" s="1"/>
  <c r="O23" i="2" s="1"/>
  <c r="L22" i="2"/>
  <c r="I22" i="2"/>
  <c r="M22" i="2" s="1"/>
  <c r="O22" i="2" s="1"/>
  <c r="L21" i="2"/>
  <c r="I21" i="2"/>
  <c r="M21" i="2" s="1"/>
  <c r="O21" i="2" s="1"/>
  <c r="L20" i="2"/>
  <c r="I20" i="2"/>
  <c r="M20" i="2" s="1"/>
  <c r="O20" i="2" s="1"/>
  <c r="L19" i="2"/>
  <c r="I19" i="2"/>
  <c r="M19" i="2" s="1"/>
  <c r="O19" i="2" s="1"/>
  <c r="L18" i="2"/>
  <c r="I18" i="2"/>
  <c r="M18" i="2" s="1"/>
  <c r="O18" i="2" s="1"/>
  <c r="L17" i="2"/>
  <c r="I17" i="2"/>
  <c r="M17" i="2" s="1"/>
  <c r="O17" i="2" s="1"/>
  <c r="L16" i="2"/>
  <c r="I16" i="2"/>
  <c r="M16" i="2" s="1"/>
  <c r="O16" i="2" s="1"/>
  <c r="L15" i="2"/>
  <c r="I15" i="2"/>
  <c r="M15" i="2" s="1"/>
  <c r="O15" i="2" s="1"/>
  <c r="L14" i="2"/>
  <c r="I14" i="2"/>
  <c r="M14" i="2" s="1"/>
  <c r="O14" i="2" s="1"/>
  <c r="L13" i="2"/>
  <c r="I13" i="2"/>
  <c r="M13" i="2" s="1"/>
  <c r="O13" i="2" s="1"/>
  <c r="L12" i="2"/>
  <c r="I12" i="2"/>
  <c r="M12" i="2" s="1"/>
  <c r="O12" i="2" s="1"/>
  <c r="L11" i="2"/>
  <c r="I11" i="2"/>
  <c r="M11" i="2" s="1"/>
  <c r="O11" i="2" s="1"/>
  <c r="L10" i="2"/>
  <c r="I10" i="2"/>
  <c r="M10" i="2" s="1"/>
  <c r="O10" i="2" s="1"/>
  <c r="L9" i="2"/>
  <c r="M9" i="2" s="1"/>
  <c r="O9" i="2" s="1"/>
  <c r="I9" i="2"/>
  <c r="L8" i="2"/>
  <c r="I8" i="2"/>
  <c r="M8" i="2" s="1"/>
  <c r="O8" i="2" s="1"/>
  <c r="L7" i="2"/>
  <c r="I7" i="2"/>
  <c r="M7" i="2" s="1"/>
  <c r="O7" i="2" s="1"/>
  <c r="L6" i="2"/>
  <c r="I6" i="2"/>
  <c r="M6" i="2" s="1"/>
  <c r="O6" i="2" s="1"/>
  <c r="L5" i="2"/>
  <c r="I5" i="2"/>
  <c r="M5" i="2" s="1"/>
  <c r="O5" i="2" s="1"/>
  <c r="L4" i="2"/>
  <c r="I4" i="2"/>
  <c r="M4" i="2" s="1"/>
  <c r="O4" i="2" s="1"/>
  <c r="L3" i="2"/>
  <c r="I3" i="2"/>
  <c r="M3" i="2" s="1"/>
  <c r="O3" i="2" s="1"/>
  <c r="D27" i="1"/>
  <c r="D26" i="1"/>
  <c r="D25" i="1"/>
  <c r="D24" i="1"/>
  <c r="D23" i="1"/>
  <c r="D22" i="1"/>
  <c r="D21" i="1"/>
  <c r="N33" i="3" l="1"/>
  <c r="D11" i="4"/>
  <c r="D13" i="4" s="1"/>
  <c r="D5" i="4"/>
  <c r="D8" i="4" s="1"/>
  <c r="B8" i="4"/>
  <c r="B15" i="4" s="1"/>
  <c r="D15" i="4" l="1"/>
  <c r="B20" i="4"/>
  <c r="B21" i="4"/>
  <c r="B22" i="4" l="1"/>
  <c r="B24" i="4" s="1"/>
  <c r="N59" i="2" l="1"/>
  <c r="H59" i="2"/>
  <c r="K59" i="2"/>
  <c r="L59" i="2"/>
</calcChain>
</file>

<file path=xl/sharedStrings.xml><?xml version="1.0" encoding="utf-8"?>
<sst xmlns="http://schemas.openxmlformats.org/spreadsheetml/2006/main" count="1109" uniqueCount="568">
  <si>
    <t>ENTERPRISE STEEL ESTIMATING SYSTEM</t>
  </si>
  <si>
    <t>PROJECT INFORMATION</t>
  </si>
  <si>
    <t>Project Name:</t>
  </si>
  <si>
    <t>Project #:</t>
  </si>
  <si>
    <t>Client/Owner:</t>
  </si>
  <si>
    <t>Date:</t>
  </si>
  <si>
    <t>Location:</t>
  </si>
  <si>
    <t>Estimator:</t>
  </si>
  <si>
    <t>Architect:</t>
  </si>
  <si>
    <t>Phone:</t>
  </si>
  <si>
    <t>Engineer:</t>
  </si>
  <si>
    <t>Email:</t>
  </si>
  <si>
    <t>General Contractor:</t>
  </si>
  <si>
    <t>PROJECT SPECIFICATIONS</t>
  </si>
  <si>
    <t>Building Type:</t>
  </si>
  <si>
    <t>Total Weight:</t>
  </si>
  <si>
    <t>Structure Type:</t>
  </si>
  <si>
    <t>Square Footage:</t>
  </si>
  <si>
    <t xml:space="preserve"> SF</t>
  </si>
  <si>
    <t>Height:</t>
  </si>
  <si>
    <t>Stories:</t>
  </si>
  <si>
    <t>Seismic Design Cat:</t>
  </si>
  <si>
    <t>Wind Speed:</t>
  </si>
  <si>
    <t>Exposure Category:</t>
  </si>
  <si>
    <t>Risk Category:</t>
  </si>
  <si>
    <t>COMPANY LABOR RATES</t>
  </si>
  <si>
    <t>Position</t>
  </si>
  <si>
    <t>Base Rate</t>
  </si>
  <si>
    <t>Burden %</t>
  </si>
  <si>
    <t>Total Rate</t>
  </si>
  <si>
    <t>Notes</t>
  </si>
  <si>
    <t>Project Manager</t>
  </si>
  <si>
    <t>$55.00</t>
  </si>
  <si>
    <t>45%</t>
  </si>
  <si>
    <t>Supervision</t>
  </si>
  <si>
    <t>Superintendent</t>
  </si>
  <si>
    <t>$52.00</t>
  </si>
  <si>
    <t>Foreman</t>
  </si>
  <si>
    <t>$48.00</t>
  </si>
  <si>
    <t>Welder (Certified)</t>
  </si>
  <si>
    <t>$45.00</t>
  </si>
  <si>
    <t>CWI/AWS D1.1</t>
  </si>
  <si>
    <t>Rigger (Certified)</t>
  </si>
  <si>
    <t>$42.00</t>
  </si>
  <si>
    <t>NCCCO/NCCER</t>
  </si>
  <si>
    <t>Ironworker Journeyman</t>
  </si>
  <si>
    <t>$38.00</t>
  </si>
  <si>
    <t>General</t>
  </si>
  <si>
    <t>Ironworker Apprentice</t>
  </si>
  <si>
    <t>$28.00</t>
  </si>
  <si>
    <t>Training</t>
  </si>
  <si>
    <t>Crane Operator</t>
  </si>
  <si>
    <t>$50.00</t>
  </si>
  <si>
    <t>NCCCO</t>
  </si>
  <si>
    <t>BURDEN BREAKDOWN</t>
  </si>
  <si>
    <t>Workers Comp:</t>
  </si>
  <si>
    <t>18.5%</t>
  </si>
  <si>
    <t>FICA:</t>
  </si>
  <si>
    <t>7.65%</t>
  </si>
  <si>
    <t>FUTA/SUTA:</t>
  </si>
  <si>
    <t>3.5%</t>
  </si>
  <si>
    <t>Benefits:</t>
  </si>
  <si>
    <t>15%</t>
  </si>
  <si>
    <t>Total Burden:</t>
  </si>
  <si>
    <t>MARKUP STRUCTURE</t>
  </si>
  <si>
    <t>Overhead:</t>
  </si>
  <si>
    <t>Profit:</t>
  </si>
  <si>
    <t>12%</t>
  </si>
  <si>
    <t>Contingency:</t>
  </si>
  <si>
    <t>5%</t>
  </si>
  <si>
    <t>Bond:</t>
  </si>
  <si>
    <t>1%</t>
  </si>
  <si>
    <t>Sales Tax:</t>
  </si>
  <si>
    <t>Line</t>
  </si>
  <si>
    <t>Category</t>
  </si>
  <si>
    <t>Item Description</t>
  </si>
  <si>
    <t>Spec/Material</t>
  </si>
  <si>
    <t>Unit</t>
  </si>
  <si>
    <t>Qty</t>
  </si>
  <si>
    <t>Weight</t>
  </si>
  <si>
    <t>Material $/Unit</t>
  </si>
  <si>
    <t>Material Cost</t>
  </si>
  <si>
    <t>Fab Hours</t>
  </si>
  <si>
    <t>Labor Rate</t>
  </si>
  <si>
    <t>Labor Cost</t>
  </si>
  <si>
    <t>Subtotal</t>
  </si>
  <si>
    <t>Markup %</t>
  </si>
  <si>
    <t>Total</t>
  </si>
  <si>
    <t>F-001</t>
  </si>
  <si>
    <t>STRUCTURAL BEAMS</t>
  </si>
  <si>
    <t>W36x300 Beams</t>
  </si>
  <si>
    <t>A992 Gr50</t>
  </si>
  <si>
    <t>LF</t>
  </si>
  <si>
    <t>300</t>
  </si>
  <si>
    <t>4.25</t>
  </si>
  <si>
    <t>0.35</t>
  </si>
  <si>
    <t>45</t>
  </si>
  <si>
    <t>F-002</t>
  </si>
  <si>
    <t>W36x230 Beams</t>
  </si>
  <si>
    <t>230</t>
  </si>
  <si>
    <t>3.85</t>
  </si>
  <si>
    <t>0.30</t>
  </si>
  <si>
    <t>F-003</t>
  </si>
  <si>
    <t>W33x241 Beams</t>
  </si>
  <si>
    <t>241</t>
  </si>
  <si>
    <t>3.65</t>
  </si>
  <si>
    <t>0.28</t>
  </si>
  <si>
    <t>F-004</t>
  </si>
  <si>
    <t>W30x211 Beams</t>
  </si>
  <si>
    <t>211</t>
  </si>
  <si>
    <t>3.45</t>
  </si>
  <si>
    <t>0.26</t>
  </si>
  <si>
    <t>F-005</t>
  </si>
  <si>
    <t>W27x194 Beams</t>
  </si>
  <si>
    <t>194</t>
  </si>
  <si>
    <t>3.25</t>
  </si>
  <si>
    <t>0.24</t>
  </si>
  <si>
    <t>F-006</t>
  </si>
  <si>
    <t>W24x162 Beams</t>
  </si>
  <si>
    <t>162</t>
  </si>
  <si>
    <t>3.05</t>
  </si>
  <si>
    <t>0.22</t>
  </si>
  <si>
    <t>F-007</t>
  </si>
  <si>
    <t>W21x147 Beams</t>
  </si>
  <si>
    <t>147</t>
  </si>
  <si>
    <t>2.85</t>
  </si>
  <si>
    <t>0.20</t>
  </si>
  <si>
    <t>F-008</t>
  </si>
  <si>
    <t>W18x119 Beams</t>
  </si>
  <si>
    <t>119</t>
  </si>
  <si>
    <t>2.65</t>
  </si>
  <si>
    <t>0.18</t>
  </si>
  <si>
    <t>F-009</t>
  </si>
  <si>
    <t>W16x100 Beams</t>
  </si>
  <si>
    <t>100</t>
  </si>
  <si>
    <t>2.45</t>
  </si>
  <si>
    <t>0.16</t>
  </si>
  <si>
    <t>F-010</t>
  </si>
  <si>
    <t>W14x90 Beams</t>
  </si>
  <si>
    <t>90</t>
  </si>
  <si>
    <t>2.25</t>
  </si>
  <si>
    <t>0.15</t>
  </si>
  <si>
    <t>F-011</t>
  </si>
  <si>
    <t>W14x74 Beams</t>
  </si>
  <si>
    <t>74</t>
  </si>
  <si>
    <t>2.05</t>
  </si>
  <si>
    <t>0.14</t>
  </si>
  <si>
    <t>F-012</t>
  </si>
  <si>
    <t>W12x65 Beams</t>
  </si>
  <si>
    <t>65</t>
  </si>
  <si>
    <t>1.85</t>
  </si>
  <si>
    <t>0.13</t>
  </si>
  <si>
    <t>F-013</t>
  </si>
  <si>
    <t>W12x53 Beams</t>
  </si>
  <si>
    <t>53</t>
  </si>
  <si>
    <t>1.65</t>
  </si>
  <si>
    <t>0.12</t>
  </si>
  <si>
    <t>F-014</t>
  </si>
  <si>
    <t>W12x40 Beams</t>
  </si>
  <si>
    <t>40</t>
  </si>
  <si>
    <t>1.45</t>
  </si>
  <si>
    <t>0.11</t>
  </si>
  <si>
    <t>F-015</t>
  </si>
  <si>
    <t>W10x54 Beams</t>
  </si>
  <si>
    <t>54</t>
  </si>
  <si>
    <t>1.35</t>
  </si>
  <si>
    <t>0.10</t>
  </si>
  <si>
    <t>F-016</t>
  </si>
  <si>
    <t>W10x45 Beams</t>
  </si>
  <si>
    <t>1.25</t>
  </si>
  <si>
    <t>0.09</t>
  </si>
  <si>
    <t>F-017</t>
  </si>
  <si>
    <t>W10x33 Beams</t>
  </si>
  <si>
    <t>33</t>
  </si>
  <si>
    <t>1.15</t>
  </si>
  <si>
    <t>0.08</t>
  </si>
  <si>
    <t>F-018</t>
  </si>
  <si>
    <t>W8x35 Beams</t>
  </si>
  <si>
    <t>35</t>
  </si>
  <si>
    <t>1.05</t>
  </si>
  <si>
    <t>0.07</t>
  </si>
  <si>
    <t>F-019</t>
  </si>
  <si>
    <t>W8x24 Beams</t>
  </si>
  <si>
    <t>24</t>
  </si>
  <si>
    <t>0.95</t>
  </si>
  <si>
    <t>0.06</t>
  </si>
  <si>
    <t>F-020</t>
  </si>
  <si>
    <t>W6x25 Beams</t>
  </si>
  <si>
    <t>25</t>
  </si>
  <si>
    <t>0.85</t>
  </si>
  <si>
    <t>F-021</t>
  </si>
  <si>
    <t>HSS COLUMNS</t>
  </si>
  <si>
    <t>HSS 12x12x5/8</t>
  </si>
  <si>
    <t>A500 GrC</t>
  </si>
  <si>
    <t>76.1</t>
  </si>
  <si>
    <t>5.25</t>
  </si>
  <si>
    <t>0.45</t>
  </si>
  <si>
    <t>F-022</t>
  </si>
  <si>
    <t>HSS 12x12x1/2</t>
  </si>
  <si>
    <t>62.5</t>
  </si>
  <si>
    <t>4.85</t>
  </si>
  <si>
    <t>0.40</t>
  </si>
  <si>
    <t>F-023</t>
  </si>
  <si>
    <t>HSS 10x10x1/2</t>
  </si>
  <si>
    <t>51.0</t>
  </si>
  <si>
    <t>F-024</t>
  </si>
  <si>
    <t>HSS 10x10x3/8</t>
  </si>
  <si>
    <t>39.4</t>
  </si>
  <si>
    <t>0.32</t>
  </si>
  <si>
    <t>F-025</t>
  </si>
  <si>
    <t>HSS 8x8x1/2</t>
  </si>
  <si>
    <t>40.4</t>
  </si>
  <si>
    <t>F-026</t>
  </si>
  <si>
    <t>HSS 8x8x3/8</t>
  </si>
  <si>
    <t>31.0</t>
  </si>
  <si>
    <t>F-027</t>
  </si>
  <si>
    <t>HSS 6x6x3/8</t>
  </si>
  <si>
    <t>22.4</t>
  </si>
  <si>
    <t>0.25</t>
  </si>
  <si>
    <t>F-028</t>
  </si>
  <si>
    <t>HSS 6x6x1/4</t>
  </si>
  <si>
    <t>15.6</t>
  </si>
  <si>
    <t>F-029</t>
  </si>
  <si>
    <t>HSS 4x4x1/4</t>
  </si>
  <si>
    <t>10.0</t>
  </si>
  <si>
    <t>F-030</t>
  </si>
  <si>
    <t>CONNECTION PLATES</t>
  </si>
  <si>
    <t>PL 1x18x18</t>
  </si>
  <si>
    <t>A36</t>
  </si>
  <si>
    <t>EA</t>
  </si>
  <si>
    <t>115</t>
  </si>
  <si>
    <t>0.65</t>
  </si>
  <si>
    <t>1.20</t>
  </si>
  <si>
    <t>F-031</t>
  </si>
  <si>
    <t>PL 3/4x16x16</t>
  </si>
  <si>
    <t>1.00</t>
  </si>
  <si>
    <t>F-032</t>
  </si>
  <si>
    <t>PL 5/8x14x14</t>
  </si>
  <si>
    <t>47</t>
  </si>
  <si>
    <t>F-033</t>
  </si>
  <si>
    <t>PL 1/2x12x12</t>
  </si>
  <si>
    <t>31</t>
  </si>
  <si>
    <t>0.70</t>
  </si>
  <si>
    <t>F-034</t>
  </si>
  <si>
    <t>PL 3/8x10x10</t>
  </si>
  <si>
    <t>19</t>
  </si>
  <si>
    <t>0.55</t>
  </si>
  <si>
    <t>F-035</t>
  </si>
  <si>
    <t>Gusset Plates (various)</t>
  </si>
  <si>
    <t>LB</t>
  </si>
  <si>
    <t>1</t>
  </si>
  <si>
    <t>0.015</t>
  </si>
  <si>
    <t>F-036</t>
  </si>
  <si>
    <t>MISCELLANEOUS</t>
  </si>
  <si>
    <t>L4x4x1/4 Angles</t>
  </si>
  <si>
    <t>6.6</t>
  </si>
  <si>
    <t>F-037</t>
  </si>
  <si>
    <t>L3x3x1/4 Angles</t>
  </si>
  <si>
    <t>4.9</t>
  </si>
  <si>
    <t>F-038</t>
  </si>
  <si>
    <t>C12x30 Channels</t>
  </si>
  <si>
    <t>30</t>
  </si>
  <si>
    <t>F-039</t>
  </si>
  <si>
    <t>C10x20 Channels</t>
  </si>
  <si>
    <t>20</t>
  </si>
  <si>
    <t>F-040</t>
  </si>
  <si>
    <t>Flat Bar (various)</t>
  </si>
  <si>
    <t>0.012</t>
  </si>
  <si>
    <t>F-041</t>
  </si>
  <si>
    <t>STEEL DECK</t>
  </si>
  <si>
    <t>B Roof Deck 22ga</t>
  </si>
  <si>
    <t>G60 Galv</t>
  </si>
  <si>
    <t>SF</t>
  </si>
  <si>
    <t>1.9</t>
  </si>
  <si>
    <t>F-042</t>
  </si>
  <si>
    <t>B Roof Deck 20ga</t>
  </si>
  <si>
    <t>2.1</t>
  </si>
  <si>
    <t>0.018</t>
  </si>
  <si>
    <t>F-043</t>
  </si>
  <si>
    <t>B Roof Deck 18ga</t>
  </si>
  <si>
    <t>2.5</t>
  </si>
  <si>
    <t>0.022</t>
  </si>
  <si>
    <t>F-044</t>
  </si>
  <si>
    <t>N Floor Deck 22ga</t>
  </si>
  <si>
    <t>2.0</t>
  </si>
  <si>
    <t>0.020</t>
  </si>
  <si>
    <t>F-045</t>
  </si>
  <si>
    <t>N Floor Deck 20ga</t>
  </si>
  <si>
    <t>2.3</t>
  </si>
  <si>
    <t>0.025</t>
  </si>
  <si>
    <t>F-046</t>
  </si>
  <si>
    <t>N Floor Deck 18ga</t>
  </si>
  <si>
    <t>2.8</t>
  </si>
  <si>
    <t>0.030</t>
  </si>
  <si>
    <t>F-047</t>
  </si>
  <si>
    <t>Cellular Deck (various)</t>
  </si>
  <si>
    <t>3.5</t>
  </si>
  <si>
    <t>0.035</t>
  </si>
  <si>
    <t>F-048</t>
  </si>
  <si>
    <t>Deck Accessories</t>
  </si>
  <si>
    <t>0.5</t>
  </si>
  <si>
    <t>0.008</t>
  </si>
  <si>
    <t>F-049</t>
  </si>
  <si>
    <t>FASTENERS</t>
  </si>
  <si>
    <t>A325 3/4x3 Bolts</t>
  </si>
  <si>
    <t>A325 Type 1</t>
  </si>
  <si>
    <t>0.8</t>
  </si>
  <si>
    <t>0.03</t>
  </si>
  <si>
    <t>F-050</t>
  </si>
  <si>
    <t>A325 7/8x4 Bolts</t>
  </si>
  <si>
    <t>1.4</t>
  </si>
  <si>
    <t>4.15</t>
  </si>
  <si>
    <t>0.04</t>
  </si>
  <si>
    <t>F-051</t>
  </si>
  <si>
    <t>A325 1x5 Bolts</t>
  </si>
  <si>
    <t>2.2</t>
  </si>
  <si>
    <t>6.50</t>
  </si>
  <si>
    <t>F-052</t>
  </si>
  <si>
    <t>A490 1x5 Bolts</t>
  </si>
  <si>
    <t>A490 Type 1</t>
  </si>
  <si>
    <t>9.25</t>
  </si>
  <si>
    <t>F-053</t>
  </si>
  <si>
    <t>Shear Studs 3/4x4-1/2</t>
  </si>
  <si>
    <t>AWS D1.1</t>
  </si>
  <si>
    <t>1.2</t>
  </si>
  <si>
    <t>3.50</t>
  </si>
  <si>
    <t>F-054</t>
  </si>
  <si>
    <t>Shear Studs 7/8x6</t>
  </si>
  <si>
    <t>F-055</t>
  </si>
  <si>
    <t>Anchor Bolts 3/4x12</t>
  </si>
  <si>
    <t>F1554 Gr36</t>
  </si>
  <si>
    <t>0.05</t>
  </si>
  <si>
    <t>F-056</t>
  </si>
  <si>
    <t>Anchor Bolts 1x18</t>
  </si>
  <si>
    <t>5.8</t>
  </si>
  <si>
    <t>7.50</t>
  </si>
  <si>
    <t>F-057</t>
  </si>
  <si>
    <t>Anchor Bolts 1-1/4x24</t>
  </si>
  <si>
    <t>10.2</t>
  </si>
  <si>
    <t>12.00</t>
  </si>
  <si>
    <t>F-058</t>
  </si>
  <si>
    <t>Washers, Nuts, Hardware</t>
  </si>
  <si>
    <t>Various</t>
  </si>
  <si>
    <t>LOT</t>
  </si>
  <si>
    <t>50</t>
  </si>
  <si>
    <t>0</t>
  </si>
  <si>
    <t>F-059</t>
  </si>
  <si>
    <t>WELDING</t>
  </si>
  <si>
    <t>E70XX Electrode</t>
  </si>
  <si>
    <t>AWS A5.1</t>
  </si>
  <si>
    <t>F-060</t>
  </si>
  <si>
    <t>E80XX Electrode</t>
  </si>
  <si>
    <t>AWS A5.5</t>
  </si>
  <si>
    <t>4.50</t>
  </si>
  <si>
    <t>F-061</t>
  </si>
  <si>
    <t>Shielding Gas (CO2/Ar)</t>
  </si>
  <si>
    <t>Welding Grade</t>
  </si>
  <si>
    <t>CF</t>
  </si>
  <si>
    <t>F-062</t>
  </si>
  <si>
    <t>SURFACE PREP</t>
  </si>
  <si>
    <t>Shot Blast (SSPC-SP6)</t>
  </si>
  <si>
    <t>Commercial</t>
  </si>
  <si>
    <t>F-063</t>
  </si>
  <si>
    <t>Primer (Inorganic Zinc)</t>
  </si>
  <si>
    <t>SSPC-Paint 20</t>
  </si>
  <si>
    <t>F-064</t>
  </si>
  <si>
    <t>Intermediate Coat</t>
  </si>
  <si>
    <t>Epoxy</t>
  </si>
  <si>
    <t>F-065</t>
  </si>
  <si>
    <t>Finish Coat (Urethane)</t>
  </si>
  <si>
    <t>Aliphatic</t>
  </si>
  <si>
    <t>F-066</t>
  </si>
  <si>
    <t>Touch-up Paint</t>
  </si>
  <si>
    <t>Zinc Rich</t>
  </si>
  <si>
    <t>GAL</t>
  </si>
  <si>
    <t>45.00</t>
  </si>
  <si>
    <t>F-067</t>
  </si>
  <si>
    <t>SHIPPING</t>
  </si>
  <si>
    <t>Freight - Local</t>
  </si>
  <si>
    <t>Flatbed</t>
  </si>
  <si>
    <t>LOAD</t>
  </si>
  <si>
    <t>850</t>
  </si>
  <si>
    <t>F-068</t>
  </si>
  <si>
    <t>Freight - Regional</t>
  </si>
  <si>
    <t>1850</t>
  </si>
  <si>
    <t>F-069</t>
  </si>
  <si>
    <t>Freight - Long Distance</t>
  </si>
  <si>
    <t>3200</t>
  </si>
  <si>
    <t>F-070</t>
  </si>
  <si>
    <t>Oversize/Permit Loads</t>
  </si>
  <si>
    <t>Special</t>
  </si>
  <si>
    <t>2500</t>
  </si>
  <si>
    <t>F-071</t>
  </si>
  <si>
    <t>SUBCONTRACTOR</t>
  </si>
  <si>
    <t>Galvanizing</t>
  </si>
  <si>
    <t>Hot-Dip</t>
  </si>
  <si>
    <t>TON</t>
  </si>
  <si>
    <t>F-072</t>
  </si>
  <si>
    <t>Fireproofing (intumescent)</t>
  </si>
  <si>
    <t>Cementitious</t>
  </si>
  <si>
    <t>F-073</t>
  </si>
  <si>
    <t>Specialty Coatings</t>
  </si>
  <si>
    <t>Epoxy/Urethane</t>
  </si>
  <si>
    <t>6.25</t>
  </si>
  <si>
    <t>F-074</t>
  </si>
  <si>
    <t>Third-Party Inspection</t>
  </si>
  <si>
    <t>CWI/NDT</t>
  </si>
  <si>
    <t>JOB</t>
  </si>
  <si>
    <t>F-075</t>
  </si>
  <si>
    <t>Engineering/Certification</t>
  </si>
  <si>
    <t>PE Stamp</t>
  </si>
  <si>
    <t>3500</t>
  </si>
  <si>
    <t>FABRICATION TOTAL</t>
  </si>
  <si>
    <t>Description</t>
  </si>
  <si>
    <t>Crew</t>
  </si>
  <si>
    <t>Hrs/Unit</t>
  </si>
  <si>
    <t>Total Hrs</t>
  </si>
  <si>
    <t>Rate</t>
  </si>
  <si>
    <t>Equipment</t>
  </si>
  <si>
    <t>Markup</t>
  </si>
  <si>
    <t>E-001</t>
  </si>
  <si>
    <t>MOBILIZATION</t>
  </si>
  <si>
    <t>Site Mobilization</t>
  </si>
  <si>
    <t>LS</t>
  </si>
  <si>
    <t>4</t>
  </si>
  <si>
    <t>8</t>
  </si>
  <si>
    <t>E-002</t>
  </si>
  <si>
    <t>Site Survey/Layout</t>
  </si>
  <si>
    <t>DAY</t>
  </si>
  <si>
    <t>2</t>
  </si>
  <si>
    <t>6</t>
  </si>
  <si>
    <t>450</t>
  </si>
  <si>
    <t>E-003</t>
  </si>
  <si>
    <t>Safety Setup/Perimeter</t>
  </si>
  <si>
    <t>12</t>
  </si>
  <si>
    <t>650</t>
  </si>
  <si>
    <t>E-004</t>
  </si>
  <si>
    <t>CRANE</t>
  </si>
  <si>
    <t>Crane 60-ton + Operator</t>
  </si>
  <si>
    <t>E-005</t>
  </si>
  <si>
    <t>Crane 80-ton + Operator</t>
  </si>
  <si>
    <t>2450</t>
  </si>
  <si>
    <t>E-006</t>
  </si>
  <si>
    <t>Crane 100-ton + Operator</t>
  </si>
  <si>
    <t>E-007</t>
  </si>
  <si>
    <t>Rigging Equipment</t>
  </si>
  <si>
    <t>E-008</t>
  </si>
  <si>
    <t>HANDLING</t>
  </si>
  <si>
    <t>Unload/Distribute Steel</t>
  </si>
  <si>
    <t>3</t>
  </si>
  <si>
    <t>0.4</t>
  </si>
  <si>
    <t>E-009</t>
  </si>
  <si>
    <t>COLUMNS</t>
  </si>
  <si>
    <t>HSS Column (heavy)</t>
  </si>
  <si>
    <t>5</t>
  </si>
  <si>
    <t>225</t>
  </si>
  <si>
    <t>E-010</t>
  </si>
  <si>
    <t>HSS Column (medium)</t>
  </si>
  <si>
    <t>175</t>
  </si>
  <si>
    <t>E-011</t>
  </si>
  <si>
    <t>HSS Column (light)</t>
  </si>
  <si>
    <t>1.5</t>
  </si>
  <si>
    <t>125</t>
  </si>
  <si>
    <t>E-012</t>
  </si>
  <si>
    <t>BEAMS</t>
  </si>
  <si>
    <t>W36-W40 Beam</t>
  </si>
  <si>
    <t>195</t>
  </si>
  <si>
    <t>E-013</t>
  </si>
  <si>
    <t>W30-W33 Beam</t>
  </si>
  <si>
    <t>155</t>
  </si>
  <si>
    <t>E-014</t>
  </si>
  <si>
    <t>W24-W27 Beam</t>
  </si>
  <si>
    <t>1.6</t>
  </si>
  <si>
    <t>E-015</t>
  </si>
  <si>
    <t>W18-W21 Beam</t>
  </si>
  <si>
    <t>95</t>
  </si>
  <si>
    <t>E-016</t>
  </si>
  <si>
    <t>W14-W16 Beam</t>
  </si>
  <si>
    <t>0.9</t>
  </si>
  <si>
    <t>75</t>
  </si>
  <si>
    <t>E-017</t>
  </si>
  <si>
    <t>W10-W12 Beam</t>
  </si>
  <si>
    <t>0.7</t>
  </si>
  <si>
    <t>60</t>
  </si>
  <si>
    <t>E-018</t>
  </si>
  <si>
    <t>W8-W10 Beam</t>
  </si>
  <si>
    <t>E-019</t>
  </si>
  <si>
    <t>CONNECTIONS</t>
  </si>
  <si>
    <t>Bolted (simple)</t>
  </si>
  <si>
    <t>15</t>
  </si>
  <si>
    <t>E-020</t>
  </si>
  <si>
    <t>Bolted (complex)</t>
  </si>
  <si>
    <t>E-021</t>
  </si>
  <si>
    <t>Field Weld (fillet)</t>
  </si>
  <si>
    <t>55</t>
  </si>
  <si>
    <t>E-022</t>
  </si>
  <si>
    <t>Field Weld (groove)</t>
  </si>
  <si>
    <t>E-023</t>
  </si>
  <si>
    <t>DECKING</t>
  </si>
  <si>
    <t>Roof Deck</t>
  </si>
  <si>
    <t>E-024</t>
  </si>
  <si>
    <t>Floor Deck</t>
  </si>
  <si>
    <t>10</t>
  </si>
  <si>
    <t>E-025</t>
  </si>
  <si>
    <t>Shear Stud Welding</t>
  </si>
  <si>
    <t>E-026</t>
  </si>
  <si>
    <t>SAFETY</t>
  </si>
  <si>
    <t>Daily Safety Meeting</t>
  </si>
  <si>
    <t>E-027</t>
  </si>
  <si>
    <t>Fall Protection</t>
  </si>
  <si>
    <t>E-028</t>
  </si>
  <si>
    <t>Debris Removal</t>
  </si>
  <si>
    <t>185</t>
  </si>
  <si>
    <t>E-029</t>
  </si>
  <si>
    <t>Final Cleanup</t>
  </si>
  <si>
    <t>E-030</t>
  </si>
  <si>
    <t>Demobilization</t>
  </si>
  <si>
    <t>950</t>
  </si>
  <si>
    <t>ERECTION TOTAL</t>
  </si>
  <si>
    <t>ENTERPRISE PROJECT COST SUMMARY</t>
  </si>
  <si>
    <t>COST CATEGORY</t>
  </si>
  <si>
    <t>SUBTOTAL</t>
  </si>
  <si>
    <t>MARKUP</t>
  </si>
  <si>
    <t>TOTAL</t>
  </si>
  <si>
    <t>FABRICATION</t>
  </si>
  <si>
    <t xml:space="preserve">  Structural Steel Materials</t>
  </si>
  <si>
    <t xml:space="preserve">  Freight/Shipping</t>
  </si>
  <si>
    <t>Included</t>
  </si>
  <si>
    <t xml:space="preserve">  Subcontractors (Galv, etc.)</t>
  </si>
  <si>
    <t xml:space="preserve">  Fabrication Subtotal</t>
  </si>
  <si>
    <t>ERECTION</t>
  </si>
  <si>
    <t xml:space="preserve">  Labor (All Crew)</t>
  </si>
  <si>
    <t xml:space="preserve">  Equipment (Cranes, etc.)</t>
  </si>
  <si>
    <t xml:space="preserve">  Erection Subtotal</t>
  </si>
  <si>
    <t>PROJECT SUBTOTAL</t>
  </si>
  <si>
    <t>OVERHEAD &amp; PROFIT</t>
  </si>
  <si>
    <t xml:space="preserve">  Overhead (15%)</t>
  </si>
  <si>
    <t xml:space="preserve">  Profit (12%)</t>
  </si>
  <si>
    <t xml:space="preserve">  Contingency (5%)</t>
  </si>
  <si>
    <t xml:space="preserve">  Bond (1%)</t>
  </si>
  <si>
    <t xml:space="preserve">  Total O&amp;P</t>
  </si>
  <si>
    <t>TOTAL PROJECT COST</t>
  </si>
  <si>
    <t>METRICS</t>
  </si>
  <si>
    <t>Total Weight (tons):</t>
  </si>
  <si>
    <t>Price per Ton:</t>
  </si>
  <si>
    <t>Price per SF:</t>
  </si>
  <si>
    <t>BID INFORMATION</t>
  </si>
  <si>
    <t>Bid Validity:</t>
  </si>
  <si>
    <t>30 days</t>
  </si>
  <si>
    <t>Payment Terms:</t>
  </si>
  <si>
    <t>Net 15</t>
  </si>
  <si>
    <t>Retainage:</t>
  </si>
  <si>
    <t>10%</t>
  </si>
  <si>
    <t>APPROVAL</t>
  </si>
  <si>
    <t>Manager:</t>
  </si>
  <si>
    <t>Industrial</t>
  </si>
  <si>
    <t xml:space="preserve">Institutional </t>
  </si>
  <si>
    <t>Bridge</t>
  </si>
  <si>
    <t>Other</t>
  </si>
  <si>
    <t>Building Type</t>
  </si>
  <si>
    <t>Structure Type</t>
  </si>
  <si>
    <t>Moment Frame</t>
  </si>
  <si>
    <t>Braced Frame</t>
  </si>
  <si>
    <t>Simple Span</t>
  </si>
  <si>
    <t>Field Oversight</t>
  </si>
  <si>
    <t>Crew Lead</t>
  </si>
  <si>
    <t>MPH</t>
  </si>
  <si>
    <t>TONS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</si>
</sst>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\$#,##0.00"/>
  </numFmts>
  <fonts count="9" x14ac:knownFonts="1">
    <font>
      <sz val="11"/>
      <color theme="1"/>
      <name val="Calibri"/>
      <family val="2"/>
      <scheme val="minor"/>
    </font>
    <font>
      <b/>
      <sz val="16"/>
      <name val="Calibri"/>
    </font>
    <font>
      <b/>
      <sz val="12"/>
      <color rgb="FFFFFFFF"/>
      <name val="Calibri"/>
    </font>
    <font>
      <b/>
      <sz val="11"/>
      <name val="Calibri"/>
    </font>
    <font>
      <b/>
      <sz val="11"/>
      <color rgb="FFFFFFFF"/>
      <name val="Calibri"/>
    </font>
    <font>
      <b/>
      <sz val="10"/>
      <name val="Calibri"/>
    </font>
    <font>
      <b/>
      <sz val="11"/>
      <name val="Calibri"/>
    </font>
    <font>
      <b/>
      <sz val="14"/>
      <name val="Calibri"/>
    </font>
    <font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D9E1F2"/>
        <bgColor rgb="FFD9E1F2"/>
      </patternFill>
    </fill>
    <fill>
      <patternFill patternType="solid">
        <fgColor rgb="FF4472C4"/>
        <bgColor rgb="FF4472C4"/>
      </patternFill>
    </fill>
    <fill>
      <patternFill patternType="solid">
        <fgColor rgb="FFB4C7E7"/>
        <bgColor rgb="FFB4C7E7"/>
      </patternFill>
    </fill>
    <fill>
      <patternFill patternType="solid">
        <fgColor rgb="FFFFC000"/>
        <bgColor rgb="FFFFC000"/>
      </patternFill>
    </fill>
    <fill>
      <patternFill patternType="solid">
        <fgColor rgb="FF70AD47"/>
        <bgColor rgb="FF70AD47"/>
      </patternFill>
    </fill>
    <fill>
      <patternFill patternType="solid">
        <fgColor rgb="FFC6E0B4"/>
        <bgColor rgb="FFC6E0B4"/>
      </patternFill>
    </fill>
    <fill>
      <patternFill patternType="solid">
        <fgColor rgb="FFC00000"/>
        <bgColor rgb="FFC00000"/>
      </patternFill>
    </fill>
    <fill>
      <patternFill patternType="solid">
        <fgColor rgb="FFF2F2F2"/>
        <bgColor rgb="FFF2F2F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4" fontId="8" fillId="0" borderId="0" applyFont="0" applyFill="0" applyBorder="0" applyAlignment="0" applyProtection="0"/>
    <xf numFmtId="9" fontId="8" fillId="0" borderId="0" applyFont="0" applyFill="0" applyBorder="0" applyAlignment="0" applyProtection="0"/>
  </cellStyleXfs>
  <cellXfs count="21">
    <xf numFmtId="0" fontId="0" fillId="0" borderId="0" xfId="0"/>
    <xf numFmtId="0" fontId="2" fillId="2" borderId="0" xfId="0" applyFont="1" applyFill="1"/>
    <xf numFmtId="0" fontId="3" fillId="3" borderId="0" xfId="0" applyFont="1" applyFill="1"/>
    <xf numFmtId="0" fontId="4" fillId="4" borderId="1" xfId="0" applyFont="1" applyFill="1" applyBorder="1" applyAlignment="1">
      <alignment horizontal="center" wrapText="1"/>
    </xf>
    <xf numFmtId="0" fontId="5" fillId="5" borderId="1" xfId="0" applyFont="1" applyFill="1" applyBorder="1"/>
    <xf numFmtId="0" fontId="0" fillId="0" borderId="1" xfId="0" applyBorder="1"/>
    <xf numFmtId="0" fontId="6" fillId="6" borderId="1" xfId="0" applyFont="1" applyFill="1" applyBorder="1"/>
    <xf numFmtId="0" fontId="4" fillId="7" borderId="1" xfId="0" applyFont="1" applyFill="1" applyBorder="1" applyAlignment="1">
      <alignment horizontal="center" wrapText="1"/>
    </xf>
    <xf numFmtId="0" fontId="5" fillId="8" borderId="1" xfId="0" applyFont="1" applyFill="1" applyBorder="1"/>
    <xf numFmtId="0" fontId="2" fillId="9" borderId="1" xfId="0" applyFont="1" applyFill="1" applyBorder="1" applyAlignment="1">
      <alignment horizontal="center"/>
    </xf>
    <xf numFmtId="0" fontId="6" fillId="10" borderId="1" xfId="0" applyFont="1" applyFill="1" applyBorder="1"/>
    <xf numFmtId="0" fontId="6" fillId="0" borderId="1" xfId="0" applyFont="1" applyBorder="1"/>
    <xf numFmtId="164" fontId="0" fillId="0" borderId="1" xfId="0" applyNumberFormat="1" applyBorder="1"/>
    <xf numFmtId="0" fontId="7" fillId="6" borderId="1" xfId="0" applyFont="1" applyFill="1" applyBorder="1"/>
    <xf numFmtId="164" fontId="7" fillId="6" borderId="1" xfId="0" applyNumberFormat="1" applyFont="1" applyFill="1" applyBorder="1"/>
    <xf numFmtId="0" fontId="1" fillId="0" borderId="0" xfId="0" applyFont="1" applyAlignment="1">
      <alignment horizontal="center"/>
    </xf>
    <xf numFmtId="44" fontId="0" fillId="0" borderId="0" xfId="0" applyNumberFormat="1"/>
    <xf numFmtId="9" fontId="0" fillId="0" borderId="0" xfId="2" applyFont="1"/>
    <xf numFmtId="0" fontId="0" fillId="0" borderId="0" xfId="0" applyAlignment="1">
      <alignment horizontal="center"/>
    </xf>
    <xf numFmtId="44" fontId="5" fillId="8" borderId="1" xfId="1" applyFont="1" applyFill="1" applyBorder="1"/>
    <xf numFmtId="44" fontId="0" fillId="0" borderId="1" xfId="1" applyFont="1" applyBorder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7"/>
  <sheetViews>
    <sheetView tabSelected="1" workbookViewId="0">
      <selection activeCell="J13" sqref="J13"/>
    </sheetView>
  </sheetViews>
  <sheetFormatPr defaultRowHeight="14.6" x14ac:dyDescent="0.4"/>
  <cols>
    <col min="1" max="1" width="24.3046875" bestFit="1" customWidth="1"/>
    <col min="2" max="2" width="18" customWidth="1"/>
    <col min="3" max="3" width="14.4609375" bestFit="1" customWidth="1"/>
    <col min="4" max="4" width="18" customWidth="1"/>
    <col min="5" max="5" width="25" customWidth="1"/>
    <col min="10" max="10" width="12.3828125" customWidth="1"/>
    <col min="11" max="11" width="13.15234375" bestFit="1" customWidth="1"/>
  </cols>
  <sheetData>
    <row r="1" spans="1:11" ht="20.6" x14ac:dyDescent="0.55000000000000004">
      <c r="A1" s="15" t="s">
        <v>0</v>
      </c>
      <c r="B1" s="15"/>
      <c r="C1" s="15"/>
      <c r="D1" s="15"/>
      <c r="E1" s="15"/>
    </row>
    <row r="3" spans="1:11" ht="15.9" x14ac:dyDescent="0.45">
      <c r="A3" s="1" t="s">
        <v>1</v>
      </c>
    </row>
    <row r="4" spans="1:11" x14ac:dyDescent="0.4">
      <c r="A4" t="s">
        <v>2</v>
      </c>
      <c r="B4" s="18"/>
      <c r="C4" s="18"/>
      <c r="D4" t="s">
        <v>3</v>
      </c>
    </row>
    <row r="5" spans="1:11" x14ac:dyDescent="0.4">
      <c r="A5" t="s">
        <v>4</v>
      </c>
      <c r="B5" s="18"/>
      <c r="C5" s="18"/>
      <c r="D5" t="s">
        <v>5</v>
      </c>
    </row>
    <row r="6" spans="1:11" x14ac:dyDescent="0.4">
      <c r="A6" t="s">
        <v>6</v>
      </c>
      <c r="B6" s="18"/>
      <c r="C6" s="18"/>
      <c r="D6" t="s">
        <v>7</v>
      </c>
    </row>
    <row r="7" spans="1:11" x14ac:dyDescent="0.4">
      <c r="A7" t="s">
        <v>8</v>
      </c>
      <c r="B7" s="18"/>
      <c r="C7" s="18"/>
      <c r="D7" t="s">
        <v>9</v>
      </c>
    </row>
    <row r="8" spans="1:11" x14ac:dyDescent="0.4">
      <c r="A8" t="s">
        <v>10</v>
      </c>
      <c r="B8" s="18"/>
      <c r="C8" s="18"/>
      <c r="D8" t="s">
        <v>11</v>
      </c>
    </row>
    <row r="9" spans="1:11" x14ac:dyDescent="0.4">
      <c r="A9" t="s">
        <v>12</v>
      </c>
      <c r="B9" s="18"/>
      <c r="C9" s="18"/>
    </row>
    <row r="10" spans="1:11" x14ac:dyDescent="0.4">
      <c r="J10" t="s">
        <v>559</v>
      </c>
      <c r="K10" t="s">
        <v>560</v>
      </c>
    </row>
    <row r="11" spans="1:11" ht="15.9" x14ac:dyDescent="0.45">
      <c r="A11" s="1" t="s">
        <v>13</v>
      </c>
      <c r="J11" t="s">
        <v>361</v>
      </c>
      <c r="K11" t="s">
        <v>561</v>
      </c>
    </row>
    <row r="12" spans="1:11" x14ac:dyDescent="0.4">
      <c r="A12" t="s">
        <v>14</v>
      </c>
      <c r="C12" t="s">
        <v>15</v>
      </c>
      <c r="E12" t="s">
        <v>567</v>
      </c>
      <c r="J12" t="s">
        <v>555</v>
      </c>
      <c r="K12" t="s">
        <v>562</v>
      </c>
    </row>
    <row r="13" spans="1:11" x14ac:dyDescent="0.4">
      <c r="A13" t="s">
        <v>16</v>
      </c>
      <c r="C13" t="s">
        <v>17</v>
      </c>
      <c r="E13" t="s">
        <v>18</v>
      </c>
      <c r="J13" t="s">
        <v>556</v>
      </c>
      <c r="K13" t="s">
        <v>563</v>
      </c>
    </row>
    <row r="14" spans="1:11" x14ac:dyDescent="0.4">
      <c r="A14" t="s">
        <v>19</v>
      </c>
      <c r="C14" t="s">
        <v>20</v>
      </c>
      <c r="E14" t="s">
        <v>229</v>
      </c>
      <c r="J14" t="s">
        <v>557</v>
      </c>
      <c r="K14" t="s">
        <v>558</v>
      </c>
    </row>
    <row r="15" spans="1:11" x14ac:dyDescent="0.4">
      <c r="A15" t="s">
        <v>21</v>
      </c>
      <c r="C15" t="s">
        <v>22</v>
      </c>
      <c r="E15" t="s">
        <v>566</v>
      </c>
      <c r="J15" t="s">
        <v>558</v>
      </c>
    </row>
    <row r="16" spans="1:11" x14ac:dyDescent="0.4">
      <c r="A16" t="s">
        <v>23</v>
      </c>
      <c r="C16" t="s">
        <v>24</v>
      </c>
    </row>
    <row r="18" spans="1:5" ht="15.9" x14ac:dyDescent="0.45">
      <c r="A18" s="1" t="s">
        <v>25</v>
      </c>
    </row>
    <row r="19" spans="1:5" x14ac:dyDescent="0.4">
      <c r="A19" s="2" t="s">
        <v>26</v>
      </c>
      <c r="B19" s="2" t="s">
        <v>27</v>
      </c>
      <c r="C19" s="2" t="s">
        <v>28</v>
      </c>
      <c r="D19" s="2" t="s">
        <v>29</v>
      </c>
      <c r="E19" s="2" t="s">
        <v>30</v>
      </c>
    </row>
    <row r="20" spans="1:5" x14ac:dyDescent="0.4">
      <c r="A20" t="s">
        <v>31</v>
      </c>
      <c r="B20" s="16" t="s">
        <v>32</v>
      </c>
      <c r="C20" t="s">
        <v>33</v>
      </c>
      <c r="D20" s="16">
        <f>B20*(1+C20)</f>
        <v>79.75</v>
      </c>
      <c r="E20" t="s">
        <v>34</v>
      </c>
    </row>
    <row r="21" spans="1:5" x14ac:dyDescent="0.4">
      <c r="A21" t="s">
        <v>35</v>
      </c>
      <c r="B21" s="16" t="s">
        <v>36</v>
      </c>
      <c r="C21" t="s">
        <v>33</v>
      </c>
      <c r="D21" s="16">
        <f t="shared" ref="D20:D27" si="0">B21*(1+C21)</f>
        <v>75.399999999999991</v>
      </c>
      <c r="E21" t="s">
        <v>564</v>
      </c>
    </row>
    <row r="22" spans="1:5" x14ac:dyDescent="0.4">
      <c r="A22" t="s">
        <v>37</v>
      </c>
      <c r="B22" s="16" t="s">
        <v>38</v>
      </c>
      <c r="C22" t="s">
        <v>33</v>
      </c>
      <c r="D22" s="16">
        <f t="shared" si="0"/>
        <v>69.599999999999994</v>
      </c>
      <c r="E22" t="s">
        <v>565</v>
      </c>
    </row>
    <row r="23" spans="1:5" x14ac:dyDescent="0.4">
      <c r="A23" t="s">
        <v>39</v>
      </c>
      <c r="B23" s="16" t="s">
        <v>40</v>
      </c>
      <c r="C23" t="s">
        <v>33</v>
      </c>
      <c r="D23" s="16">
        <f t="shared" si="0"/>
        <v>65.25</v>
      </c>
      <c r="E23" t="s">
        <v>41</v>
      </c>
    </row>
    <row r="24" spans="1:5" x14ac:dyDescent="0.4">
      <c r="A24" t="s">
        <v>42</v>
      </c>
      <c r="B24" s="16" t="s">
        <v>43</v>
      </c>
      <c r="C24" t="s">
        <v>33</v>
      </c>
      <c r="D24" s="16">
        <f t="shared" si="0"/>
        <v>60.9</v>
      </c>
      <c r="E24" t="s">
        <v>44</v>
      </c>
    </row>
    <row r="25" spans="1:5" x14ac:dyDescent="0.4">
      <c r="A25" t="s">
        <v>45</v>
      </c>
      <c r="B25" s="16" t="s">
        <v>46</v>
      </c>
      <c r="C25" t="s">
        <v>33</v>
      </c>
      <c r="D25" s="16">
        <f t="shared" si="0"/>
        <v>55.1</v>
      </c>
      <c r="E25" t="s">
        <v>47</v>
      </c>
    </row>
    <row r="26" spans="1:5" x14ac:dyDescent="0.4">
      <c r="A26" t="s">
        <v>48</v>
      </c>
      <c r="B26" s="16" t="s">
        <v>49</v>
      </c>
      <c r="C26" t="s">
        <v>33</v>
      </c>
      <c r="D26" s="16">
        <f t="shared" si="0"/>
        <v>40.6</v>
      </c>
      <c r="E26" t="s">
        <v>50</v>
      </c>
    </row>
    <row r="27" spans="1:5" x14ac:dyDescent="0.4">
      <c r="A27" t="s">
        <v>51</v>
      </c>
      <c r="B27" s="16" t="s">
        <v>52</v>
      </c>
      <c r="C27" t="s">
        <v>33</v>
      </c>
      <c r="D27" s="16">
        <f t="shared" si="0"/>
        <v>72.5</v>
      </c>
      <c r="E27" t="s">
        <v>53</v>
      </c>
    </row>
    <row r="29" spans="1:5" ht="15.9" x14ac:dyDescent="0.45">
      <c r="A29" s="1" t="s">
        <v>54</v>
      </c>
    </row>
    <row r="30" spans="1:5" x14ac:dyDescent="0.4">
      <c r="A30" t="s">
        <v>55</v>
      </c>
      <c r="B30" t="s">
        <v>56</v>
      </c>
      <c r="C30" t="s">
        <v>57</v>
      </c>
      <c r="D30" t="s">
        <v>58</v>
      </c>
    </row>
    <row r="31" spans="1:5" x14ac:dyDescent="0.4">
      <c r="A31" t="s">
        <v>59</v>
      </c>
      <c r="B31" t="s">
        <v>60</v>
      </c>
      <c r="C31" t="s">
        <v>61</v>
      </c>
      <c r="D31" t="s">
        <v>62</v>
      </c>
    </row>
    <row r="32" spans="1:5" x14ac:dyDescent="0.4">
      <c r="A32" t="s">
        <v>63</v>
      </c>
      <c r="B32" s="17">
        <f>SUM(B30+B31+D30+D31)</f>
        <v>0.44650000000000001</v>
      </c>
    </row>
    <row r="34" spans="1:4" ht="15.9" x14ac:dyDescent="0.45">
      <c r="A34" s="1" t="s">
        <v>64</v>
      </c>
    </row>
    <row r="35" spans="1:4" x14ac:dyDescent="0.4">
      <c r="A35" t="s">
        <v>65</v>
      </c>
      <c r="B35" t="s">
        <v>62</v>
      </c>
      <c r="C35" t="s">
        <v>66</v>
      </c>
      <c r="D35" t="s">
        <v>67</v>
      </c>
    </row>
    <row r="36" spans="1:4" x14ac:dyDescent="0.4">
      <c r="A36" t="s">
        <v>68</v>
      </c>
      <c r="B36" t="s">
        <v>69</v>
      </c>
      <c r="C36" t="s">
        <v>70</v>
      </c>
      <c r="D36" t="s">
        <v>71</v>
      </c>
    </row>
    <row r="37" spans="1:4" x14ac:dyDescent="0.4">
      <c r="A37" t="s">
        <v>72</v>
      </c>
    </row>
  </sheetData>
  <mergeCells count="7">
    <mergeCell ref="B8:C8"/>
    <mergeCell ref="B9:C9"/>
    <mergeCell ref="A1:E1"/>
    <mergeCell ref="B4:C4"/>
    <mergeCell ref="B5:C5"/>
    <mergeCell ref="B6:C6"/>
    <mergeCell ref="B7:C7"/>
  </mergeCells>
  <dataValidations count="2">
    <dataValidation type="list" allowBlank="1" showInputMessage="1" showErrorMessage="1" sqref="B12" xr:uid="{057FD215-E395-4736-9117-BE26739D4112}">
      <formula1>$J$11:$J$15</formula1>
    </dataValidation>
    <dataValidation type="list" allowBlank="1" showInputMessage="1" showErrorMessage="1" sqref="B13" xr:uid="{48C89297-EFD0-4ABD-84B3-D09090883AAD}">
      <formula1>$K$11:$K$14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78"/>
  <sheetViews>
    <sheetView topLeftCell="A46" workbookViewId="0">
      <selection activeCell="Q82" sqref="Q82"/>
    </sheetView>
  </sheetViews>
  <sheetFormatPr defaultRowHeight="14.6" x14ac:dyDescent="0.4"/>
  <cols>
    <col min="1" max="1" width="10" customWidth="1"/>
    <col min="2" max="2" width="16.765625" bestFit="1" customWidth="1"/>
    <col min="3" max="3" width="28" customWidth="1"/>
    <col min="4" max="4" width="15" customWidth="1"/>
    <col min="5" max="15" width="10" customWidth="1"/>
  </cols>
  <sheetData>
    <row r="1" spans="1:15" ht="29.15" x14ac:dyDescent="0.4">
      <c r="A1" s="3" t="s">
        <v>73</v>
      </c>
      <c r="B1" s="3" t="s">
        <v>74</v>
      </c>
      <c r="C1" s="3" t="s">
        <v>75</v>
      </c>
      <c r="D1" s="3" t="s">
        <v>76</v>
      </c>
      <c r="E1" s="3" t="s">
        <v>77</v>
      </c>
      <c r="F1" s="3" t="s">
        <v>78</v>
      </c>
      <c r="G1" s="3" t="s">
        <v>79</v>
      </c>
      <c r="H1" s="3" t="s">
        <v>80</v>
      </c>
      <c r="I1" s="3" t="s">
        <v>81</v>
      </c>
      <c r="J1" s="3" t="s">
        <v>82</v>
      </c>
      <c r="K1" s="3" t="s">
        <v>83</v>
      </c>
      <c r="L1" s="3" t="s">
        <v>84</v>
      </c>
      <c r="M1" s="3" t="s">
        <v>85</v>
      </c>
      <c r="N1" s="3" t="s">
        <v>86</v>
      </c>
      <c r="O1" s="3" t="s">
        <v>87</v>
      </c>
    </row>
    <row r="2" spans="1:15" x14ac:dyDescent="0.4">
      <c r="A2" s="4" t="s">
        <v>88</v>
      </c>
      <c r="B2" s="4" t="s">
        <v>89</v>
      </c>
      <c r="C2" s="4" t="s">
        <v>90</v>
      </c>
      <c r="D2" s="4" t="s">
        <v>91</v>
      </c>
      <c r="E2" s="4" t="s">
        <v>92</v>
      </c>
      <c r="F2" s="4"/>
      <c r="G2" s="4" t="s">
        <v>93</v>
      </c>
      <c r="H2" s="4" t="s">
        <v>94</v>
      </c>
      <c r="I2" s="4">
        <f>F2*H2</f>
        <v>0</v>
      </c>
      <c r="J2" s="4" t="s">
        <v>95</v>
      </c>
      <c r="K2" s="4" t="s">
        <v>96</v>
      </c>
      <c r="L2" s="4">
        <f>J2*K2</f>
        <v>15.749999999999998</v>
      </c>
      <c r="M2" s="4">
        <f>I2+L2</f>
        <v>15.749999999999998</v>
      </c>
      <c r="N2" s="4" t="s">
        <v>62</v>
      </c>
      <c r="O2" s="4">
        <f>M2*(1+N2)</f>
        <v>18.112499999999997</v>
      </c>
    </row>
    <row r="3" spans="1:15" x14ac:dyDescent="0.4">
      <c r="A3" s="5" t="s">
        <v>97</v>
      </c>
      <c r="B3" s="5"/>
      <c r="C3" s="5" t="s">
        <v>98</v>
      </c>
      <c r="D3" s="5" t="s">
        <v>91</v>
      </c>
      <c r="E3" s="5" t="s">
        <v>92</v>
      </c>
      <c r="F3" s="5"/>
      <c r="G3" s="5" t="s">
        <v>99</v>
      </c>
      <c r="H3" s="5" t="s">
        <v>100</v>
      </c>
      <c r="I3" s="5">
        <f t="shared" ref="I2:I33" si="0">F3*H3</f>
        <v>0</v>
      </c>
      <c r="J3" s="5" t="s">
        <v>101</v>
      </c>
      <c r="K3" s="5" t="s">
        <v>96</v>
      </c>
      <c r="L3" s="5">
        <f t="shared" ref="L2:L33" si="1">J3*K3</f>
        <v>13.5</v>
      </c>
      <c r="M3" s="5">
        <f t="shared" ref="M2:M33" si="2">I3+L3</f>
        <v>13.5</v>
      </c>
      <c r="N3" s="5" t="s">
        <v>62</v>
      </c>
      <c r="O3" s="5">
        <f t="shared" ref="O2:O33" si="3">M3*(1+N3)</f>
        <v>15.524999999999999</v>
      </c>
    </row>
    <row r="4" spans="1:15" x14ac:dyDescent="0.4">
      <c r="A4" s="5" t="s">
        <v>102</v>
      </c>
      <c r="B4" s="5"/>
      <c r="C4" s="5" t="s">
        <v>103</v>
      </c>
      <c r="D4" s="5" t="s">
        <v>91</v>
      </c>
      <c r="E4" s="5" t="s">
        <v>92</v>
      </c>
      <c r="F4" s="5"/>
      <c r="G4" s="5" t="s">
        <v>104</v>
      </c>
      <c r="H4" s="5" t="s">
        <v>105</v>
      </c>
      <c r="I4" s="5">
        <f t="shared" si="0"/>
        <v>0</v>
      </c>
      <c r="J4" s="5" t="s">
        <v>106</v>
      </c>
      <c r="K4" s="5" t="s">
        <v>96</v>
      </c>
      <c r="L4" s="5">
        <f t="shared" si="1"/>
        <v>12.600000000000001</v>
      </c>
      <c r="M4" s="5">
        <f t="shared" si="2"/>
        <v>12.600000000000001</v>
      </c>
      <c r="N4" s="5" t="s">
        <v>62</v>
      </c>
      <c r="O4" s="5">
        <f t="shared" si="3"/>
        <v>14.49</v>
      </c>
    </row>
    <row r="5" spans="1:15" x14ac:dyDescent="0.4">
      <c r="A5" s="5" t="s">
        <v>107</v>
      </c>
      <c r="B5" s="5"/>
      <c r="C5" s="5" t="s">
        <v>108</v>
      </c>
      <c r="D5" s="5" t="s">
        <v>91</v>
      </c>
      <c r="E5" s="5" t="s">
        <v>92</v>
      </c>
      <c r="F5" s="5"/>
      <c r="G5" s="5" t="s">
        <v>109</v>
      </c>
      <c r="H5" s="5" t="s">
        <v>110</v>
      </c>
      <c r="I5" s="5">
        <f t="shared" si="0"/>
        <v>0</v>
      </c>
      <c r="J5" s="5" t="s">
        <v>111</v>
      </c>
      <c r="K5" s="5" t="s">
        <v>96</v>
      </c>
      <c r="L5" s="5">
        <f t="shared" si="1"/>
        <v>11.700000000000001</v>
      </c>
      <c r="M5" s="5">
        <f t="shared" si="2"/>
        <v>11.700000000000001</v>
      </c>
      <c r="N5" s="5" t="s">
        <v>62</v>
      </c>
      <c r="O5" s="5">
        <f t="shared" si="3"/>
        <v>13.455</v>
      </c>
    </row>
    <row r="6" spans="1:15" x14ac:dyDescent="0.4">
      <c r="A6" s="5" t="s">
        <v>112</v>
      </c>
      <c r="B6" s="5"/>
      <c r="C6" s="5" t="s">
        <v>113</v>
      </c>
      <c r="D6" s="5" t="s">
        <v>91</v>
      </c>
      <c r="E6" s="5" t="s">
        <v>92</v>
      </c>
      <c r="F6" s="5"/>
      <c r="G6" s="5" t="s">
        <v>114</v>
      </c>
      <c r="H6" s="5" t="s">
        <v>115</v>
      </c>
      <c r="I6" s="5">
        <f t="shared" si="0"/>
        <v>0</v>
      </c>
      <c r="J6" s="5" t="s">
        <v>116</v>
      </c>
      <c r="K6" s="5" t="s">
        <v>96</v>
      </c>
      <c r="L6" s="5">
        <f t="shared" si="1"/>
        <v>10.799999999999999</v>
      </c>
      <c r="M6" s="5">
        <f t="shared" si="2"/>
        <v>10.799999999999999</v>
      </c>
      <c r="N6" s="5" t="s">
        <v>62</v>
      </c>
      <c r="O6" s="5">
        <f t="shared" si="3"/>
        <v>12.419999999999998</v>
      </c>
    </row>
    <row r="7" spans="1:15" x14ac:dyDescent="0.4">
      <c r="A7" s="5" t="s">
        <v>117</v>
      </c>
      <c r="B7" s="5"/>
      <c r="C7" s="5" t="s">
        <v>118</v>
      </c>
      <c r="D7" s="5" t="s">
        <v>91</v>
      </c>
      <c r="E7" s="5" t="s">
        <v>92</v>
      </c>
      <c r="F7" s="5"/>
      <c r="G7" s="5" t="s">
        <v>119</v>
      </c>
      <c r="H7" s="5" t="s">
        <v>120</v>
      </c>
      <c r="I7" s="5">
        <f t="shared" si="0"/>
        <v>0</v>
      </c>
      <c r="J7" s="5" t="s">
        <v>121</v>
      </c>
      <c r="K7" s="5" t="s">
        <v>96</v>
      </c>
      <c r="L7" s="5">
        <f t="shared" si="1"/>
        <v>9.9</v>
      </c>
      <c r="M7" s="5">
        <f t="shared" si="2"/>
        <v>9.9</v>
      </c>
      <c r="N7" s="5" t="s">
        <v>62</v>
      </c>
      <c r="O7" s="5">
        <f t="shared" si="3"/>
        <v>11.385</v>
      </c>
    </row>
    <row r="8" spans="1:15" x14ac:dyDescent="0.4">
      <c r="A8" s="5" t="s">
        <v>122</v>
      </c>
      <c r="B8" s="5"/>
      <c r="C8" s="5" t="s">
        <v>123</v>
      </c>
      <c r="D8" s="5" t="s">
        <v>91</v>
      </c>
      <c r="E8" s="5" t="s">
        <v>92</v>
      </c>
      <c r="F8" s="5"/>
      <c r="G8" s="5" t="s">
        <v>124</v>
      </c>
      <c r="H8" s="5" t="s">
        <v>125</v>
      </c>
      <c r="I8" s="5">
        <f t="shared" si="0"/>
        <v>0</v>
      </c>
      <c r="J8" s="5" t="s">
        <v>126</v>
      </c>
      <c r="K8" s="5" t="s">
        <v>96</v>
      </c>
      <c r="L8" s="5">
        <f t="shared" si="1"/>
        <v>9</v>
      </c>
      <c r="M8" s="5">
        <f t="shared" si="2"/>
        <v>9</v>
      </c>
      <c r="N8" s="5" t="s">
        <v>62</v>
      </c>
      <c r="O8" s="5">
        <f t="shared" si="3"/>
        <v>10.35</v>
      </c>
    </row>
    <row r="9" spans="1:15" x14ac:dyDescent="0.4">
      <c r="A9" s="5" t="s">
        <v>127</v>
      </c>
      <c r="B9" s="5"/>
      <c r="C9" s="5" t="s">
        <v>128</v>
      </c>
      <c r="D9" s="5" t="s">
        <v>91</v>
      </c>
      <c r="E9" s="5" t="s">
        <v>92</v>
      </c>
      <c r="F9" s="5"/>
      <c r="G9" s="5" t="s">
        <v>129</v>
      </c>
      <c r="H9" s="5" t="s">
        <v>130</v>
      </c>
      <c r="I9" s="5">
        <f t="shared" si="0"/>
        <v>0</v>
      </c>
      <c r="J9" s="5" t="s">
        <v>131</v>
      </c>
      <c r="K9" s="5" t="s">
        <v>96</v>
      </c>
      <c r="L9" s="5">
        <f t="shared" si="1"/>
        <v>8.1</v>
      </c>
      <c r="M9" s="5">
        <f t="shared" si="2"/>
        <v>8.1</v>
      </c>
      <c r="N9" s="5" t="s">
        <v>62</v>
      </c>
      <c r="O9" s="5">
        <f t="shared" si="3"/>
        <v>9.3149999999999995</v>
      </c>
    </row>
    <row r="10" spans="1:15" x14ac:dyDescent="0.4">
      <c r="A10" s="5" t="s">
        <v>132</v>
      </c>
      <c r="B10" s="5"/>
      <c r="C10" s="5" t="s">
        <v>133</v>
      </c>
      <c r="D10" s="5" t="s">
        <v>91</v>
      </c>
      <c r="E10" s="5" t="s">
        <v>92</v>
      </c>
      <c r="F10" s="5"/>
      <c r="G10" s="5" t="s">
        <v>134</v>
      </c>
      <c r="H10" s="5" t="s">
        <v>135</v>
      </c>
      <c r="I10" s="5">
        <f t="shared" si="0"/>
        <v>0</v>
      </c>
      <c r="J10" s="5" t="s">
        <v>136</v>
      </c>
      <c r="K10" s="5" t="s">
        <v>96</v>
      </c>
      <c r="L10" s="5">
        <f t="shared" si="1"/>
        <v>7.2</v>
      </c>
      <c r="M10" s="5">
        <f t="shared" si="2"/>
        <v>7.2</v>
      </c>
      <c r="N10" s="5" t="s">
        <v>62</v>
      </c>
      <c r="O10" s="5">
        <f t="shared" si="3"/>
        <v>8.2799999999999994</v>
      </c>
    </row>
    <row r="11" spans="1:15" x14ac:dyDescent="0.4">
      <c r="A11" s="5" t="s">
        <v>137</v>
      </c>
      <c r="B11" s="5"/>
      <c r="C11" s="5" t="s">
        <v>138</v>
      </c>
      <c r="D11" s="5" t="s">
        <v>91</v>
      </c>
      <c r="E11" s="5" t="s">
        <v>92</v>
      </c>
      <c r="F11" s="5"/>
      <c r="G11" s="5" t="s">
        <v>139</v>
      </c>
      <c r="H11" s="5" t="s">
        <v>140</v>
      </c>
      <c r="I11" s="5">
        <f t="shared" si="0"/>
        <v>0</v>
      </c>
      <c r="J11" s="5" t="s">
        <v>141</v>
      </c>
      <c r="K11" s="5" t="s">
        <v>96</v>
      </c>
      <c r="L11" s="5">
        <f t="shared" si="1"/>
        <v>6.75</v>
      </c>
      <c r="M11" s="5">
        <f t="shared" si="2"/>
        <v>6.75</v>
      </c>
      <c r="N11" s="5" t="s">
        <v>62</v>
      </c>
      <c r="O11" s="5">
        <f t="shared" si="3"/>
        <v>7.7624999999999993</v>
      </c>
    </row>
    <row r="12" spans="1:15" x14ac:dyDescent="0.4">
      <c r="A12" s="5" t="s">
        <v>142</v>
      </c>
      <c r="B12" s="5"/>
      <c r="C12" s="5" t="s">
        <v>143</v>
      </c>
      <c r="D12" s="5" t="s">
        <v>91</v>
      </c>
      <c r="E12" s="5" t="s">
        <v>92</v>
      </c>
      <c r="F12" s="5"/>
      <c r="G12" s="5" t="s">
        <v>144</v>
      </c>
      <c r="H12" s="5" t="s">
        <v>145</v>
      </c>
      <c r="I12" s="5">
        <f t="shared" si="0"/>
        <v>0</v>
      </c>
      <c r="J12" s="5" t="s">
        <v>146</v>
      </c>
      <c r="K12" s="5" t="s">
        <v>96</v>
      </c>
      <c r="L12" s="5">
        <f t="shared" si="1"/>
        <v>6.3000000000000007</v>
      </c>
      <c r="M12" s="5">
        <f t="shared" si="2"/>
        <v>6.3000000000000007</v>
      </c>
      <c r="N12" s="5" t="s">
        <v>62</v>
      </c>
      <c r="O12" s="5">
        <f t="shared" si="3"/>
        <v>7.2450000000000001</v>
      </c>
    </row>
    <row r="13" spans="1:15" x14ac:dyDescent="0.4">
      <c r="A13" s="5" t="s">
        <v>147</v>
      </c>
      <c r="B13" s="5"/>
      <c r="C13" s="5" t="s">
        <v>148</v>
      </c>
      <c r="D13" s="5" t="s">
        <v>91</v>
      </c>
      <c r="E13" s="5" t="s">
        <v>92</v>
      </c>
      <c r="F13" s="5"/>
      <c r="G13" s="5" t="s">
        <v>149</v>
      </c>
      <c r="H13" s="5" t="s">
        <v>150</v>
      </c>
      <c r="I13" s="5">
        <f t="shared" si="0"/>
        <v>0</v>
      </c>
      <c r="J13" s="5" t="s">
        <v>151</v>
      </c>
      <c r="K13" s="5" t="s">
        <v>96</v>
      </c>
      <c r="L13" s="5">
        <f t="shared" si="1"/>
        <v>5.8500000000000005</v>
      </c>
      <c r="M13" s="5">
        <f t="shared" si="2"/>
        <v>5.8500000000000005</v>
      </c>
      <c r="N13" s="5" t="s">
        <v>62</v>
      </c>
      <c r="O13" s="5">
        <f t="shared" si="3"/>
        <v>6.7275</v>
      </c>
    </row>
    <row r="14" spans="1:15" x14ac:dyDescent="0.4">
      <c r="A14" s="5" t="s">
        <v>152</v>
      </c>
      <c r="B14" s="5"/>
      <c r="C14" s="5" t="s">
        <v>153</v>
      </c>
      <c r="D14" s="5" t="s">
        <v>91</v>
      </c>
      <c r="E14" s="5" t="s">
        <v>92</v>
      </c>
      <c r="F14" s="5"/>
      <c r="G14" s="5" t="s">
        <v>154</v>
      </c>
      <c r="H14" s="5" t="s">
        <v>155</v>
      </c>
      <c r="I14" s="5">
        <f t="shared" si="0"/>
        <v>0</v>
      </c>
      <c r="J14" s="5" t="s">
        <v>156</v>
      </c>
      <c r="K14" s="5" t="s">
        <v>96</v>
      </c>
      <c r="L14" s="5">
        <f t="shared" si="1"/>
        <v>5.3999999999999995</v>
      </c>
      <c r="M14" s="5">
        <f t="shared" si="2"/>
        <v>5.3999999999999995</v>
      </c>
      <c r="N14" s="5" t="s">
        <v>62</v>
      </c>
      <c r="O14" s="5">
        <f t="shared" si="3"/>
        <v>6.2099999999999991</v>
      </c>
    </row>
    <row r="15" spans="1:15" x14ac:dyDescent="0.4">
      <c r="A15" s="5" t="s">
        <v>157</v>
      </c>
      <c r="B15" s="5"/>
      <c r="C15" s="5" t="s">
        <v>158</v>
      </c>
      <c r="D15" s="5" t="s">
        <v>91</v>
      </c>
      <c r="E15" s="5" t="s">
        <v>92</v>
      </c>
      <c r="F15" s="5"/>
      <c r="G15" s="5" t="s">
        <v>159</v>
      </c>
      <c r="H15" s="5" t="s">
        <v>160</v>
      </c>
      <c r="I15" s="5">
        <f t="shared" si="0"/>
        <v>0</v>
      </c>
      <c r="J15" s="5" t="s">
        <v>161</v>
      </c>
      <c r="K15" s="5" t="s">
        <v>96</v>
      </c>
      <c r="L15" s="5">
        <f t="shared" si="1"/>
        <v>4.95</v>
      </c>
      <c r="M15" s="5">
        <f t="shared" si="2"/>
        <v>4.95</v>
      </c>
      <c r="N15" s="5" t="s">
        <v>62</v>
      </c>
      <c r="O15" s="5">
        <f t="shared" si="3"/>
        <v>5.6924999999999999</v>
      </c>
    </row>
    <row r="16" spans="1:15" x14ac:dyDescent="0.4">
      <c r="A16" s="5" t="s">
        <v>162</v>
      </c>
      <c r="B16" s="5"/>
      <c r="C16" s="5" t="s">
        <v>163</v>
      </c>
      <c r="D16" s="5" t="s">
        <v>91</v>
      </c>
      <c r="E16" s="5" t="s">
        <v>92</v>
      </c>
      <c r="F16" s="5"/>
      <c r="G16" s="5" t="s">
        <v>164</v>
      </c>
      <c r="H16" s="5" t="s">
        <v>165</v>
      </c>
      <c r="I16" s="5">
        <f t="shared" si="0"/>
        <v>0</v>
      </c>
      <c r="J16" s="5" t="s">
        <v>166</v>
      </c>
      <c r="K16" s="5" t="s">
        <v>96</v>
      </c>
      <c r="L16" s="5">
        <f t="shared" si="1"/>
        <v>4.5</v>
      </c>
      <c r="M16" s="5">
        <f t="shared" si="2"/>
        <v>4.5</v>
      </c>
      <c r="N16" s="5" t="s">
        <v>62</v>
      </c>
      <c r="O16" s="5">
        <f t="shared" si="3"/>
        <v>5.1749999999999998</v>
      </c>
    </row>
    <row r="17" spans="1:15" x14ac:dyDescent="0.4">
      <c r="A17" s="5" t="s">
        <v>167</v>
      </c>
      <c r="B17" s="5"/>
      <c r="C17" s="5" t="s">
        <v>168</v>
      </c>
      <c r="D17" s="5" t="s">
        <v>91</v>
      </c>
      <c r="E17" s="5" t="s">
        <v>92</v>
      </c>
      <c r="F17" s="5"/>
      <c r="G17" s="5" t="s">
        <v>96</v>
      </c>
      <c r="H17" s="5" t="s">
        <v>169</v>
      </c>
      <c r="I17" s="5">
        <f t="shared" si="0"/>
        <v>0</v>
      </c>
      <c r="J17" s="5" t="s">
        <v>170</v>
      </c>
      <c r="K17" s="5" t="s">
        <v>96</v>
      </c>
      <c r="L17" s="5">
        <f t="shared" si="1"/>
        <v>4.05</v>
      </c>
      <c r="M17" s="5">
        <f t="shared" si="2"/>
        <v>4.05</v>
      </c>
      <c r="N17" s="5" t="s">
        <v>62</v>
      </c>
      <c r="O17" s="5">
        <f t="shared" si="3"/>
        <v>4.6574999999999998</v>
      </c>
    </row>
    <row r="18" spans="1:15" x14ac:dyDescent="0.4">
      <c r="A18" s="5" t="s">
        <v>171</v>
      </c>
      <c r="B18" s="5"/>
      <c r="C18" s="5" t="s">
        <v>172</v>
      </c>
      <c r="D18" s="5" t="s">
        <v>91</v>
      </c>
      <c r="E18" s="5" t="s">
        <v>92</v>
      </c>
      <c r="F18" s="5"/>
      <c r="G18" s="5" t="s">
        <v>173</v>
      </c>
      <c r="H18" s="5" t="s">
        <v>174</v>
      </c>
      <c r="I18" s="5">
        <f t="shared" si="0"/>
        <v>0</v>
      </c>
      <c r="J18" s="5" t="s">
        <v>175</v>
      </c>
      <c r="K18" s="5" t="s">
        <v>96</v>
      </c>
      <c r="L18" s="5">
        <f t="shared" si="1"/>
        <v>3.6</v>
      </c>
      <c r="M18" s="5">
        <f t="shared" si="2"/>
        <v>3.6</v>
      </c>
      <c r="N18" s="5" t="s">
        <v>62</v>
      </c>
      <c r="O18" s="5">
        <f t="shared" si="3"/>
        <v>4.1399999999999997</v>
      </c>
    </row>
    <row r="19" spans="1:15" x14ac:dyDescent="0.4">
      <c r="A19" s="5" t="s">
        <v>176</v>
      </c>
      <c r="B19" s="5"/>
      <c r="C19" s="5" t="s">
        <v>177</v>
      </c>
      <c r="D19" s="5" t="s">
        <v>91</v>
      </c>
      <c r="E19" s="5" t="s">
        <v>92</v>
      </c>
      <c r="F19" s="5"/>
      <c r="G19" s="5" t="s">
        <v>178</v>
      </c>
      <c r="H19" s="5" t="s">
        <v>179</v>
      </c>
      <c r="I19" s="5">
        <f t="shared" si="0"/>
        <v>0</v>
      </c>
      <c r="J19" s="5" t="s">
        <v>180</v>
      </c>
      <c r="K19" s="5" t="s">
        <v>96</v>
      </c>
      <c r="L19" s="5">
        <f t="shared" si="1"/>
        <v>3.1500000000000004</v>
      </c>
      <c r="M19" s="5">
        <f t="shared" si="2"/>
        <v>3.1500000000000004</v>
      </c>
      <c r="N19" s="5" t="s">
        <v>62</v>
      </c>
      <c r="O19" s="5">
        <f t="shared" si="3"/>
        <v>3.6225000000000001</v>
      </c>
    </row>
    <row r="20" spans="1:15" x14ac:dyDescent="0.4">
      <c r="A20" s="5" t="s">
        <v>181</v>
      </c>
      <c r="B20" s="5"/>
      <c r="C20" s="5" t="s">
        <v>182</v>
      </c>
      <c r="D20" s="5" t="s">
        <v>91</v>
      </c>
      <c r="E20" s="5" t="s">
        <v>92</v>
      </c>
      <c r="F20" s="5"/>
      <c r="G20" s="5" t="s">
        <v>183</v>
      </c>
      <c r="H20" s="5" t="s">
        <v>184</v>
      </c>
      <c r="I20" s="5">
        <f t="shared" si="0"/>
        <v>0</v>
      </c>
      <c r="J20" s="5" t="s">
        <v>185</v>
      </c>
      <c r="K20" s="5" t="s">
        <v>96</v>
      </c>
      <c r="L20" s="5">
        <f t="shared" si="1"/>
        <v>2.6999999999999997</v>
      </c>
      <c r="M20" s="5">
        <f t="shared" si="2"/>
        <v>2.6999999999999997</v>
      </c>
      <c r="N20" s="5" t="s">
        <v>62</v>
      </c>
      <c r="O20" s="5">
        <f t="shared" si="3"/>
        <v>3.1049999999999995</v>
      </c>
    </row>
    <row r="21" spans="1:15" x14ac:dyDescent="0.4">
      <c r="A21" s="5" t="s">
        <v>186</v>
      </c>
      <c r="B21" s="5"/>
      <c r="C21" s="5" t="s">
        <v>187</v>
      </c>
      <c r="D21" s="5" t="s">
        <v>91</v>
      </c>
      <c r="E21" s="5" t="s">
        <v>92</v>
      </c>
      <c r="F21" s="5"/>
      <c r="G21" s="5" t="s">
        <v>188</v>
      </c>
      <c r="H21" s="5" t="s">
        <v>189</v>
      </c>
      <c r="I21" s="5">
        <f t="shared" si="0"/>
        <v>0</v>
      </c>
      <c r="J21" s="5" t="s">
        <v>185</v>
      </c>
      <c r="K21" s="5" t="s">
        <v>96</v>
      </c>
      <c r="L21" s="5">
        <f t="shared" si="1"/>
        <v>2.6999999999999997</v>
      </c>
      <c r="M21" s="5">
        <f t="shared" si="2"/>
        <v>2.6999999999999997</v>
      </c>
      <c r="N21" s="5" t="s">
        <v>62</v>
      </c>
      <c r="O21" s="5">
        <f t="shared" si="3"/>
        <v>3.1049999999999995</v>
      </c>
    </row>
    <row r="22" spans="1:15" x14ac:dyDescent="0.4">
      <c r="A22" s="4" t="s">
        <v>190</v>
      </c>
      <c r="B22" s="4" t="s">
        <v>191</v>
      </c>
      <c r="C22" s="4" t="s">
        <v>192</v>
      </c>
      <c r="D22" s="4" t="s">
        <v>193</v>
      </c>
      <c r="E22" s="4" t="s">
        <v>92</v>
      </c>
      <c r="F22" s="4"/>
      <c r="G22" s="4" t="s">
        <v>194</v>
      </c>
      <c r="H22" s="4" t="s">
        <v>195</v>
      </c>
      <c r="I22" s="4">
        <f t="shared" si="0"/>
        <v>0</v>
      </c>
      <c r="J22" s="4" t="s">
        <v>196</v>
      </c>
      <c r="K22" s="4" t="s">
        <v>96</v>
      </c>
      <c r="L22" s="4">
        <f t="shared" si="1"/>
        <v>20.25</v>
      </c>
      <c r="M22" s="4">
        <f t="shared" si="2"/>
        <v>20.25</v>
      </c>
      <c r="N22" s="4" t="s">
        <v>62</v>
      </c>
      <c r="O22" s="4">
        <f t="shared" si="3"/>
        <v>23.287499999999998</v>
      </c>
    </row>
    <row r="23" spans="1:15" x14ac:dyDescent="0.4">
      <c r="A23" s="5" t="s">
        <v>197</v>
      </c>
      <c r="B23" s="5"/>
      <c r="C23" s="5" t="s">
        <v>198</v>
      </c>
      <c r="D23" s="5" t="s">
        <v>193</v>
      </c>
      <c r="E23" s="5" t="s">
        <v>92</v>
      </c>
      <c r="F23" s="5"/>
      <c r="G23" s="5" t="s">
        <v>199</v>
      </c>
      <c r="H23" s="5" t="s">
        <v>200</v>
      </c>
      <c r="I23" s="5">
        <f t="shared" si="0"/>
        <v>0</v>
      </c>
      <c r="J23" s="5" t="s">
        <v>201</v>
      </c>
      <c r="K23" s="5" t="s">
        <v>96</v>
      </c>
      <c r="L23" s="5">
        <f t="shared" si="1"/>
        <v>18</v>
      </c>
      <c r="M23" s="5">
        <f t="shared" si="2"/>
        <v>18</v>
      </c>
      <c r="N23" s="5" t="s">
        <v>62</v>
      </c>
      <c r="O23" s="5">
        <f t="shared" si="3"/>
        <v>20.7</v>
      </c>
    </row>
    <row r="24" spans="1:15" x14ac:dyDescent="0.4">
      <c r="A24" s="5" t="s">
        <v>202</v>
      </c>
      <c r="B24" s="5"/>
      <c r="C24" s="5" t="s">
        <v>203</v>
      </c>
      <c r="D24" s="5" t="s">
        <v>193</v>
      </c>
      <c r="E24" s="5" t="s">
        <v>92</v>
      </c>
      <c r="F24" s="5"/>
      <c r="G24" s="5" t="s">
        <v>204</v>
      </c>
      <c r="H24" s="5" t="s">
        <v>94</v>
      </c>
      <c r="I24" s="5">
        <f t="shared" si="0"/>
        <v>0</v>
      </c>
      <c r="J24" s="5" t="s">
        <v>95</v>
      </c>
      <c r="K24" s="5" t="s">
        <v>96</v>
      </c>
      <c r="L24" s="5">
        <f t="shared" si="1"/>
        <v>15.749999999999998</v>
      </c>
      <c r="M24" s="5">
        <f t="shared" si="2"/>
        <v>15.749999999999998</v>
      </c>
      <c r="N24" s="5" t="s">
        <v>62</v>
      </c>
      <c r="O24" s="5">
        <f t="shared" si="3"/>
        <v>18.112499999999997</v>
      </c>
    </row>
    <row r="25" spans="1:15" x14ac:dyDescent="0.4">
      <c r="A25" s="5" t="s">
        <v>205</v>
      </c>
      <c r="B25" s="5"/>
      <c r="C25" s="5" t="s">
        <v>206</v>
      </c>
      <c r="D25" s="5" t="s">
        <v>193</v>
      </c>
      <c r="E25" s="5" t="s">
        <v>92</v>
      </c>
      <c r="F25" s="5"/>
      <c r="G25" s="5" t="s">
        <v>207</v>
      </c>
      <c r="H25" s="5" t="s">
        <v>100</v>
      </c>
      <c r="I25" s="5">
        <f t="shared" si="0"/>
        <v>0</v>
      </c>
      <c r="J25" s="5" t="s">
        <v>208</v>
      </c>
      <c r="K25" s="5" t="s">
        <v>96</v>
      </c>
      <c r="L25" s="5">
        <f t="shared" si="1"/>
        <v>14.4</v>
      </c>
      <c r="M25" s="5">
        <f t="shared" si="2"/>
        <v>14.4</v>
      </c>
      <c r="N25" s="5" t="s">
        <v>62</v>
      </c>
      <c r="O25" s="5">
        <f t="shared" si="3"/>
        <v>16.559999999999999</v>
      </c>
    </row>
    <row r="26" spans="1:15" x14ac:dyDescent="0.4">
      <c r="A26" s="5" t="s">
        <v>209</v>
      </c>
      <c r="B26" s="5"/>
      <c r="C26" s="5" t="s">
        <v>210</v>
      </c>
      <c r="D26" s="5" t="s">
        <v>193</v>
      </c>
      <c r="E26" s="5" t="s">
        <v>92</v>
      </c>
      <c r="F26" s="5"/>
      <c r="G26" s="5" t="s">
        <v>211</v>
      </c>
      <c r="H26" s="5" t="s">
        <v>105</v>
      </c>
      <c r="I26" s="5">
        <f t="shared" si="0"/>
        <v>0</v>
      </c>
      <c r="J26" s="5" t="s">
        <v>101</v>
      </c>
      <c r="K26" s="5" t="s">
        <v>96</v>
      </c>
      <c r="L26" s="5">
        <f t="shared" si="1"/>
        <v>13.5</v>
      </c>
      <c r="M26" s="5">
        <f t="shared" si="2"/>
        <v>13.5</v>
      </c>
      <c r="N26" s="5" t="s">
        <v>62</v>
      </c>
      <c r="O26" s="5">
        <f t="shared" si="3"/>
        <v>15.524999999999999</v>
      </c>
    </row>
    <row r="27" spans="1:15" x14ac:dyDescent="0.4">
      <c r="A27" s="5" t="s">
        <v>212</v>
      </c>
      <c r="B27" s="5"/>
      <c r="C27" s="5" t="s">
        <v>213</v>
      </c>
      <c r="D27" s="5" t="s">
        <v>193</v>
      </c>
      <c r="E27" s="5" t="s">
        <v>92</v>
      </c>
      <c r="F27" s="5"/>
      <c r="G27" s="5" t="s">
        <v>214</v>
      </c>
      <c r="H27" s="5" t="s">
        <v>115</v>
      </c>
      <c r="I27" s="5">
        <f t="shared" si="0"/>
        <v>0</v>
      </c>
      <c r="J27" s="5" t="s">
        <v>106</v>
      </c>
      <c r="K27" s="5" t="s">
        <v>96</v>
      </c>
      <c r="L27" s="5">
        <f t="shared" si="1"/>
        <v>12.600000000000001</v>
      </c>
      <c r="M27" s="5">
        <f t="shared" si="2"/>
        <v>12.600000000000001</v>
      </c>
      <c r="N27" s="5" t="s">
        <v>62</v>
      </c>
      <c r="O27" s="5">
        <f t="shared" si="3"/>
        <v>14.49</v>
      </c>
    </row>
    <row r="28" spans="1:15" x14ac:dyDescent="0.4">
      <c r="A28" s="5" t="s">
        <v>215</v>
      </c>
      <c r="B28" s="5"/>
      <c r="C28" s="5" t="s">
        <v>216</v>
      </c>
      <c r="D28" s="5" t="s">
        <v>193</v>
      </c>
      <c r="E28" s="5" t="s">
        <v>92</v>
      </c>
      <c r="F28" s="5"/>
      <c r="G28" s="5" t="s">
        <v>217</v>
      </c>
      <c r="H28" s="5" t="s">
        <v>125</v>
      </c>
      <c r="I28" s="5">
        <f t="shared" si="0"/>
        <v>0</v>
      </c>
      <c r="J28" s="5" t="s">
        <v>218</v>
      </c>
      <c r="K28" s="5" t="s">
        <v>96</v>
      </c>
      <c r="L28" s="5">
        <f t="shared" si="1"/>
        <v>11.25</v>
      </c>
      <c r="M28" s="5">
        <f t="shared" si="2"/>
        <v>11.25</v>
      </c>
      <c r="N28" s="5" t="s">
        <v>62</v>
      </c>
      <c r="O28" s="5">
        <f t="shared" si="3"/>
        <v>12.937499999999998</v>
      </c>
    </row>
    <row r="29" spans="1:15" x14ac:dyDescent="0.4">
      <c r="A29" s="5" t="s">
        <v>219</v>
      </c>
      <c r="B29" s="5"/>
      <c r="C29" s="5" t="s">
        <v>220</v>
      </c>
      <c r="D29" s="5" t="s">
        <v>193</v>
      </c>
      <c r="E29" s="5" t="s">
        <v>92</v>
      </c>
      <c r="F29" s="5"/>
      <c r="G29" s="5" t="s">
        <v>221</v>
      </c>
      <c r="H29" s="5" t="s">
        <v>135</v>
      </c>
      <c r="I29" s="5">
        <f t="shared" si="0"/>
        <v>0</v>
      </c>
      <c r="J29" s="5" t="s">
        <v>121</v>
      </c>
      <c r="K29" s="5" t="s">
        <v>96</v>
      </c>
      <c r="L29" s="5">
        <f t="shared" si="1"/>
        <v>9.9</v>
      </c>
      <c r="M29" s="5">
        <f t="shared" si="2"/>
        <v>9.9</v>
      </c>
      <c r="N29" s="5" t="s">
        <v>62</v>
      </c>
      <c r="O29" s="5">
        <f t="shared" si="3"/>
        <v>11.385</v>
      </c>
    </row>
    <row r="30" spans="1:15" x14ac:dyDescent="0.4">
      <c r="A30" s="5" t="s">
        <v>222</v>
      </c>
      <c r="B30" s="5"/>
      <c r="C30" s="5" t="s">
        <v>223</v>
      </c>
      <c r="D30" s="5" t="s">
        <v>193</v>
      </c>
      <c r="E30" s="5" t="s">
        <v>92</v>
      </c>
      <c r="F30" s="5"/>
      <c r="G30" s="5" t="s">
        <v>224</v>
      </c>
      <c r="H30" s="5" t="s">
        <v>145</v>
      </c>
      <c r="I30" s="5">
        <f t="shared" si="0"/>
        <v>0</v>
      </c>
      <c r="J30" s="5" t="s">
        <v>126</v>
      </c>
      <c r="K30" s="5" t="s">
        <v>96</v>
      </c>
      <c r="L30" s="5">
        <f t="shared" si="1"/>
        <v>9</v>
      </c>
      <c r="M30" s="5">
        <f t="shared" si="2"/>
        <v>9</v>
      </c>
      <c r="N30" s="5" t="s">
        <v>62</v>
      </c>
      <c r="O30" s="5">
        <f t="shared" si="3"/>
        <v>10.35</v>
      </c>
    </row>
    <row r="31" spans="1:15" x14ac:dyDescent="0.4">
      <c r="A31" s="4" t="s">
        <v>225</v>
      </c>
      <c r="B31" s="4" t="s">
        <v>226</v>
      </c>
      <c r="C31" s="4" t="s">
        <v>227</v>
      </c>
      <c r="D31" s="4" t="s">
        <v>228</v>
      </c>
      <c r="E31" s="4" t="s">
        <v>229</v>
      </c>
      <c r="F31" s="4"/>
      <c r="G31" s="4" t="s">
        <v>230</v>
      </c>
      <c r="H31" s="4" t="s">
        <v>231</v>
      </c>
      <c r="I31" s="4">
        <f t="shared" si="0"/>
        <v>0</v>
      </c>
      <c r="J31" s="4" t="s">
        <v>232</v>
      </c>
      <c r="K31" s="4" t="s">
        <v>96</v>
      </c>
      <c r="L31" s="4">
        <f t="shared" si="1"/>
        <v>54</v>
      </c>
      <c r="M31" s="4">
        <f t="shared" si="2"/>
        <v>54</v>
      </c>
      <c r="N31" s="4" t="s">
        <v>62</v>
      </c>
      <c r="O31" s="4">
        <f t="shared" si="3"/>
        <v>62.099999999999994</v>
      </c>
    </row>
    <row r="32" spans="1:15" x14ac:dyDescent="0.4">
      <c r="A32" s="5" t="s">
        <v>233</v>
      </c>
      <c r="B32" s="5"/>
      <c r="C32" s="5" t="s">
        <v>234</v>
      </c>
      <c r="D32" s="5" t="s">
        <v>228</v>
      </c>
      <c r="E32" s="5" t="s">
        <v>229</v>
      </c>
      <c r="F32" s="5"/>
      <c r="G32" s="5" t="s">
        <v>149</v>
      </c>
      <c r="H32" s="5" t="s">
        <v>231</v>
      </c>
      <c r="I32" s="5">
        <f t="shared" si="0"/>
        <v>0</v>
      </c>
      <c r="J32" s="5" t="s">
        <v>235</v>
      </c>
      <c r="K32" s="5" t="s">
        <v>96</v>
      </c>
      <c r="L32" s="5">
        <f t="shared" si="1"/>
        <v>45</v>
      </c>
      <c r="M32" s="5">
        <f t="shared" si="2"/>
        <v>45</v>
      </c>
      <c r="N32" s="5" t="s">
        <v>62</v>
      </c>
      <c r="O32" s="5">
        <f t="shared" si="3"/>
        <v>51.749999999999993</v>
      </c>
    </row>
    <row r="33" spans="1:15" x14ac:dyDescent="0.4">
      <c r="A33" s="5" t="s">
        <v>236</v>
      </c>
      <c r="B33" s="5"/>
      <c r="C33" s="5" t="s">
        <v>237</v>
      </c>
      <c r="D33" s="5" t="s">
        <v>228</v>
      </c>
      <c r="E33" s="5" t="s">
        <v>229</v>
      </c>
      <c r="F33" s="5"/>
      <c r="G33" s="5" t="s">
        <v>238</v>
      </c>
      <c r="H33" s="5" t="s">
        <v>231</v>
      </c>
      <c r="I33" s="5">
        <f t="shared" si="0"/>
        <v>0</v>
      </c>
      <c r="J33" s="5" t="s">
        <v>189</v>
      </c>
      <c r="K33" s="5" t="s">
        <v>96</v>
      </c>
      <c r="L33" s="5">
        <f t="shared" si="1"/>
        <v>38.25</v>
      </c>
      <c r="M33" s="5">
        <f t="shared" si="2"/>
        <v>38.25</v>
      </c>
      <c r="N33" s="5" t="s">
        <v>62</v>
      </c>
      <c r="O33" s="5">
        <f t="shared" si="3"/>
        <v>43.987499999999997</v>
      </c>
    </row>
    <row r="34" spans="1:15" x14ac:dyDescent="0.4">
      <c r="A34" s="5" t="s">
        <v>239</v>
      </c>
      <c r="B34" s="5"/>
      <c r="C34" s="5" t="s">
        <v>240</v>
      </c>
      <c r="D34" s="5" t="s">
        <v>228</v>
      </c>
      <c r="E34" s="5" t="s">
        <v>229</v>
      </c>
      <c r="F34" s="5"/>
      <c r="G34" s="5" t="s">
        <v>241</v>
      </c>
      <c r="H34" s="5" t="s">
        <v>231</v>
      </c>
      <c r="I34" s="5">
        <f t="shared" ref="I34:I65" si="4">F34*H34</f>
        <v>0</v>
      </c>
      <c r="J34" s="5" t="s">
        <v>242</v>
      </c>
      <c r="K34" s="5" t="s">
        <v>96</v>
      </c>
      <c r="L34" s="5">
        <f t="shared" ref="L34:L65" si="5">J34*K34</f>
        <v>31.499999999999996</v>
      </c>
      <c r="M34" s="5">
        <f t="shared" ref="M34:M65" si="6">I34+L34</f>
        <v>31.499999999999996</v>
      </c>
      <c r="N34" s="5" t="s">
        <v>62</v>
      </c>
      <c r="O34" s="5">
        <f t="shared" ref="O34:O65" si="7">M34*(1+N34)</f>
        <v>36.224999999999994</v>
      </c>
    </row>
    <row r="35" spans="1:15" x14ac:dyDescent="0.4">
      <c r="A35" s="5" t="s">
        <v>243</v>
      </c>
      <c r="B35" s="5"/>
      <c r="C35" s="5" t="s">
        <v>244</v>
      </c>
      <c r="D35" s="5" t="s">
        <v>228</v>
      </c>
      <c r="E35" s="5" t="s">
        <v>229</v>
      </c>
      <c r="F35" s="5"/>
      <c r="G35" s="5" t="s">
        <v>245</v>
      </c>
      <c r="H35" s="5" t="s">
        <v>231</v>
      </c>
      <c r="I35" s="5">
        <f t="shared" si="4"/>
        <v>0</v>
      </c>
      <c r="J35" s="5" t="s">
        <v>246</v>
      </c>
      <c r="K35" s="5" t="s">
        <v>96</v>
      </c>
      <c r="L35" s="5">
        <f t="shared" si="5"/>
        <v>24.750000000000004</v>
      </c>
      <c r="M35" s="5">
        <f t="shared" si="6"/>
        <v>24.750000000000004</v>
      </c>
      <c r="N35" s="5" t="s">
        <v>62</v>
      </c>
      <c r="O35" s="5">
        <f t="shared" si="7"/>
        <v>28.462500000000002</v>
      </c>
    </row>
    <row r="36" spans="1:15" x14ac:dyDescent="0.4">
      <c r="A36" s="5" t="s">
        <v>247</v>
      </c>
      <c r="B36" s="5"/>
      <c r="C36" s="5" t="s">
        <v>248</v>
      </c>
      <c r="D36" s="5" t="s">
        <v>228</v>
      </c>
      <c r="E36" s="5" t="s">
        <v>249</v>
      </c>
      <c r="F36" s="5"/>
      <c r="G36" s="5" t="s">
        <v>250</v>
      </c>
      <c r="H36" s="5" t="s">
        <v>231</v>
      </c>
      <c r="I36" s="5">
        <f t="shared" si="4"/>
        <v>0</v>
      </c>
      <c r="J36" s="5" t="s">
        <v>251</v>
      </c>
      <c r="K36" s="5" t="s">
        <v>96</v>
      </c>
      <c r="L36" s="5">
        <f t="shared" si="5"/>
        <v>0.67499999999999993</v>
      </c>
      <c r="M36" s="5">
        <f t="shared" si="6"/>
        <v>0.67499999999999993</v>
      </c>
      <c r="N36" s="5" t="s">
        <v>62</v>
      </c>
      <c r="O36" s="5">
        <f t="shared" si="7"/>
        <v>0.77624999999999988</v>
      </c>
    </row>
    <row r="37" spans="1:15" x14ac:dyDescent="0.4">
      <c r="A37" s="4" t="s">
        <v>252</v>
      </c>
      <c r="B37" s="4" t="s">
        <v>253</v>
      </c>
      <c r="C37" s="4" t="s">
        <v>254</v>
      </c>
      <c r="D37" s="4" t="s">
        <v>228</v>
      </c>
      <c r="E37" s="4" t="s">
        <v>92</v>
      </c>
      <c r="F37" s="4"/>
      <c r="G37" s="4" t="s">
        <v>255</v>
      </c>
      <c r="H37" s="4" t="s">
        <v>174</v>
      </c>
      <c r="I37" s="4">
        <f t="shared" si="4"/>
        <v>0</v>
      </c>
      <c r="J37" s="4" t="s">
        <v>175</v>
      </c>
      <c r="K37" s="4" t="s">
        <v>96</v>
      </c>
      <c r="L37" s="4">
        <f t="shared" si="5"/>
        <v>3.6</v>
      </c>
      <c r="M37" s="4">
        <f t="shared" si="6"/>
        <v>3.6</v>
      </c>
      <c r="N37" s="4" t="s">
        <v>62</v>
      </c>
      <c r="O37" s="4">
        <f t="shared" si="7"/>
        <v>4.1399999999999997</v>
      </c>
    </row>
    <row r="38" spans="1:15" x14ac:dyDescent="0.4">
      <c r="A38" s="5" t="s">
        <v>256</v>
      </c>
      <c r="B38" s="5"/>
      <c r="C38" s="5" t="s">
        <v>257</v>
      </c>
      <c r="D38" s="5" t="s">
        <v>228</v>
      </c>
      <c r="E38" s="5" t="s">
        <v>92</v>
      </c>
      <c r="F38" s="5"/>
      <c r="G38" s="5" t="s">
        <v>258</v>
      </c>
      <c r="H38" s="5" t="s">
        <v>184</v>
      </c>
      <c r="I38" s="5">
        <f t="shared" si="4"/>
        <v>0</v>
      </c>
      <c r="J38" s="5" t="s">
        <v>180</v>
      </c>
      <c r="K38" s="5" t="s">
        <v>96</v>
      </c>
      <c r="L38" s="5">
        <f t="shared" si="5"/>
        <v>3.1500000000000004</v>
      </c>
      <c r="M38" s="5">
        <f t="shared" si="6"/>
        <v>3.1500000000000004</v>
      </c>
      <c r="N38" s="5" t="s">
        <v>62</v>
      </c>
      <c r="O38" s="5">
        <f t="shared" si="7"/>
        <v>3.6225000000000001</v>
      </c>
    </row>
    <row r="39" spans="1:15" x14ac:dyDescent="0.4">
      <c r="A39" s="5" t="s">
        <v>259</v>
      </c>
      <c r="B39" s="5"/>
      <c r="C39" s="5" t="s">
        <v>260</v>
      </c>
      <c r="D39" s="5" t="s">
        <v>228</v>
      </c>
      <c r="E39" s="5" t="s">
        <v>92</v>
      </c>
      <c r="F39" s="5"/>
      <c r="G39" s="5" t="s">
        <v>261</v>
      </c>
      <c r="H39" s="5" t="s">
        <v>150</v>
      </c>
      <c r="I39" s="5">
        <f t="shared" si="4"/>
        <v>0</v>
      </c>
      <c r="J39" s="5" t="s">
        <v>141</v>
      </c>
      <c r="K39" s="5" t="s">
        <v>96</v>
      </c>
      <c r="L39" s="5">
        <f t="shared" si="5"/>
        <v>6.75</v>
      </c>
      <c r="M39" s="5">
        <f t="shared" si="6"/>
        <v>6.75</v>
      </c>
      <c r="N39" s="5" t="s">
        <v>62</v>
      </c>
      <c r="O39" s="5">
        <f t="shared" si="7"/>
        <v>7.7624999999999993</v>
      </c>
    </row>
    <row r="40" spans="1:15" x14ac:dyDescent="0.4">
      <c r="A40" s="5" t="s">
        <v>262</v>
      </c>
      <c r="B40" s="5"/>
      <c r="C40" s="5" t="s">
        <v>263</v>
      </c>
      <c r="D40" s="5" t="s">
        <v>228</v>
      </c>
      <c r="E40" s="5" t="s">
        <v>92</v>
      </c>
      <c r="F40" s="5"/>
      <c r="G40" s="5" t="s">
        <v>264</v>
      </c>
      <c r="H40" s="5" t="s">
        <v>160</v>
      </c>
      <c r="I40" s="5">
        <f t="shared" si="4"/>
        <v>0</v>
      </c>
      <c r="J40" s="5" t="s">
        <v>156</v>
      </c>
      <c r="K40" s="5" t="s">
        <v>96</v>
      </c>
      <c r="L40" s="5">
        <f t="shared" si="5"/>
        <v>5.3999999999999995</v>
      </c>
      <c r="M40" s="5">
        <f t="shared" si="6"/>
        <v>5.3999999999999995</v>
      </c>
      <c r="N40" s="5" t="s">
        <v>62</v>
      </c>
      <c r="O40" s="5">
        <f t="shared" si="7"/>
        <v>6.2099999999999991</v>
      </c>
    </row>
    <row r="41" spans="1:15" x14ac:dyDescent="0.4">
      <c r="A41" s="5" t="s">
        <v>265</v>
      </c>
      <c r="B41" s="5"/>
      <c r="C41" s="5" t="s">
        <v>266</v>
      </c>
      <c r="D41" s="5" t="s">
        <v>228</v>
      </c>
      <c r="E41" s="5" t="s">
        <v>249</v>
      </c>
      <c r="F41" s="5"/>
      <c r="G41" s="5" t="s">
        <v>250</v>
      </c>
      <c r="H41" s="5" t="s">
        <v>231</v>
      </c>
      <c r="I41" s="5">
        <f t="shared" si="4"/>
        <v>0</v>
      </c>
      <c r="J41" s="5" t="s">
        <v>267</v>
      </c>
      <c r="K41" s="5" t="s">
        <v>96</v>
      </c>
      <c r="L41" s="5">
        <f t="shared" si="5"/>
        <v>0.54</v>
      </c>
      <c r="M41" s="5">
        <f t="shared" si="6"/>
        <v>0.54</v>
      </c>
      <c r="N41" s="5" t="s">
        <v>62</v>
      </c>
      <c r="O41" s="5">
        <f t="shared" si="7"/>
        <v>0.621</v>
      </c>
    </row>
    <row r="42" spans="1:15" x14ac:dyDescent="0.4">
      <c r="A42" s="4" t="s">
        <v>268</v>
      </c>
      <c r="B42" s="4" t="s">
        <v>269</v>
      </c>
      <c r="C42" s="4" t="s">
        <v>270</v>
      </c>
      <c r="D42" s="4" t="s">
        <v>271</v>
      </c>
      <c r="E42" s="4" t="s">
        <v>272</v>
      </c>
      <c r="F42" s="4"/>
      <c r="G42" s="4" t="s">
        <v>273</v>
      </c>
      <c r="H42" s="4" t="s">
        <v>184</v>
      </c>
      <c r="I42" s="4">
        <f t="shared" si="4"/>
        <v>0</v>
      </c>
      <c r="J42" s="4" t="s">
        <v>251</v>
      </c>
      <c r="K42" s="4" t="s">
        <v>96</v>
      </c>
      <c r="L42" s="4">
        <f t="shared" si="5"/>
        <v>0.67499999999999993</v>
      </c>
      <c r="M42" s="4">
        <f t="shared" si="6"/>
        <v>0.67499999999999993</v>
      </c>
      <c r="N42" s="4" t="s">
        <v>62</v>
      </c>
      <c r="O42" s="4">
        <f t="shared" si="7"/>
        <v>0.77624999999999988</v>
      </c>
    </row>
    <row r="43" spans="1:15" x14ac:dyDescent="0.4">
      <c r="A43" s="5" t="s">
        <v>274</v>
      </c>
      <c r="B43" s="5"/>
      <c r="C43" s="5" t="s">
        <v>275</v>
      </c>
      <c r="D43" s="5" t="s">
        <v>271</v>
      </c>
      <c r="E43" s="5" t="s">
        <v>272</v>
      </c>
      <c r="F43" s="5"/>
      <c r="G43" s="5" t="s">
        <v>276</v>
      </c>
      <c r="H43" s="5" t="s">
        <v>179</v>
      </c>
      <c r="I43" s="5">
        <f t="shared" si="4"/>
        <v>0</v>
      </c>
      <c r="J43" s="5" t="s">
        <v>277</v>
      </c>
      <c r="K43" s="5" t="s">
        <v>96</v>
      </c>
      <c r="L43" s="5">
        <f t="shared" si="5"/>
        <v>0.80999999999999994</v>
      </c>
      <c r="M43" s="5">
        <f t="shared" si="6"/>
        <v>0.80999999999999994</v>
      </c>
      <c r="N43" s="5" t="s">
        <v>62</v>
      </c>
      <c r="O43" s="5">
        <f t="shared" si="7"/>
        <v>0.93149999999999988</v>
      </c>
    </row>
    <row r="44" spans="1:15" x14ac:dyDescent="0.4">
      <c r="A44" s="5" t="s">
        <v>278</v>
      </c>
      <c r="B44" s="5"/>
      <c r="C44" s="5" t="s">
        <v>279</v>
      </c>
      <c r="D44" s="5" t="s">
        <v>271</v>
      </c>
      <c r="E44" s="5" t="s">
        <v>272</v>
      </c>
      <c r="F44" s="5"/>
      <c r="G44" s="5" t="s">
        <v>280</v>
      </c>
      <c r="H44" s="5" t="s">
        <v>169</v>
      </c>
      <c r="I44" s="5">
        <f t="shared" si="4"/>
        <v>0</v>
      </c>
      <c r="J44" s="5" t="s">
        <v>281</v>
      </c>
      <c r="K44" s="5" t="s">
        <v>96</v>
      </c>
      <c r="L44" s="5">
        <f t="shared" si="5"/>
        <v>0.99</v>
      </c>
      <c r="M44" s="5">
        <f t="shared" si="6"/>
        <v>0.99</v>
      </c>
      <c r="N44" s="5" t="s">
        <v>62</v>
      </c>
      <c r="O44" s="5">
        <f t="shared" si="7"/>
        <v>1.1384999999999998</v>
      </c>
    </row>
    <row r="45" spans="1:15" x14ac:dyDescent="0.4">
      <c r="A45" s="5" t="s">
        <v>282</v>
      </c>
      <c r="B45" s="5"/>
      <c r="C45" s="5" t="s">
        <v>283</v>
      </c>
      <c r="D45" s="5" t="s">
        <v>271</v>
      </c>
      <c r="E45" s="5" t="s">
        <v>272</v>
      </c>
      <c r="F45" s="5"/>
      <c r="G45" s="5" t="s">
        <v>284</v>
      </c>
      <c r="H45" s="5" t="s">
        <v>174</v>
      </c>
      <c r="I45" s="5">
        <f t="shared" si="4"/>
        <v>0</v>
      </c>
      <c r="J45" s="5" t="s">
        <v>285</v>
      </c>
      <c r="K45" s="5" t="s">
        <v>96</v>
      </c>
      <c r="L45" s="5">
        <f t="shared" si="5"/>
        <v>0.9</v>
      </c>
      <c r="M45" s="5">
        <f t="shared" si="6"/>
        <v>0.9</v>
      </c>
      <c r="N45" s="5" t="s">
        <v>62</v>
      </c>
      <c r="O45" s="5">
        <f t="shared" si="7"/>
        <v>1.0349999999999999</v>
      </c>
    </row>
    <row r="46" spans="1:15" x14ac:dyDescent="0.4">
      <c r="A46" s="5" t="s">
        <v>286</v>
      </c>
      <c r="B46" s="5"/>
      <c r="C46" s="5" t="s">
        <v>287</v>
      </c>
      <c r="D46" s="5" t="s">
        <v>271</v>
      </c>
      <c r="E46" s="5" t="s">
        <v>272</v>
      </c>
      <c r="F46" s="5"/>
      <c r="G46" s="5" t="s">
        <v>288</v>
      </c>
      <c r="H46" s="5" t="s">
        <v>165</v>
      </c>
      <c r="I46" s="5">
        <f t="shared" si="4"/>
        <v>0</v>
      </c>
      <c r="J46" s="5" t="s">
        <v>289</v>
      </c>
      <c r="K46" s="5" t="s">
        <v>96</v>
      </c>
      <c r="L46" s="5">
        <f t="shared" si="5"/>
        <v>1.125</v>
      </c>
      <c r="M46" s="5">
        <f t="shared" si="6"/>
        <v>1.125</v>
      </c>
      <c r="N46" s="5" t="s">
        <v>62</v>
      </c>
      <c r="O46" s="5">
        <f t="shared" si="7"/>
        <v>1.29375</v>
      </c>
    </row>
    <row r="47" spans="1:15" x14ac:dyDescent="0.4">
      <c r="A47" s="5" t="s">
        <v>290</v>
      </c>
      <c r="B47" s="5"/>
      <c r="C47" s="5" t="s">
        <v>291</v>
      </c>
      <c r="D47" s="5" t="s">
        <v>271</v>
      </c>
      <c r="E47" s="5" t="s">
        <v>272</v>
      </c>
      <c r="F47" s="5"/>
      <c r="G47" s="5" t="s">
        <v>292</v>
      </c>
      <c r="H47" s="5" t="s">
        <v>155</v>
      </c>
      <c r="I47" s="5">
        <f t="shared" si="4"/>
        <v>0</v>
      </c>
      <c r="J47" s="5" t="s">
        <v>293</v>
      </c>
      <c r="K47" s="5" t="s">
        <v>96</v>
      </c>
      <c r="L47" s="5">
        <f t="shared" si="5"/>
        <v>1.3499999999999999</v>
      </c>
      <c r="M47" s="5">
        <f t="shared" si="6"/>
        <v>1.3499999999999999</v>
      </c>
      <c r="N47" s="5" t="s">
        <v>62</v>
      </c>
      <c r="O47" s="5">
        <f t="shared" si="7"/>
        <v>1.5524999999999998</v>
      </c>
    </row>
    <row r="48" spans="1:15" x14ac:dyDescent="0.4">
      <c r="A48" s="5" t="s">
        <v>294</v>
      </c>
      <c r="B48" s="5"/>
      <c r="C48" s="5" t="s">
        <v>295</v>
      </c>
      <c r="D48" s="5" t="s">
        <v>271</v>
      </c>
      <c r="E48" s="5" t="s">
        <v>272</v>
      </c>
      <c r="F48" s="5"/>
      <c r="G48" s="5" t="s">
        <v>296</v>
      </c>
      <c r="H48" s="5" t="s">
        <v>140</v>
      </c>
      <c r="I48" s="5">
        <f t="shared" si="4"/>
        <v>0</v>
      </c>
      <c r="J48" s="5" t="s">
        <v>297</v>
      </c>
      <c r="K48" s="5" t="s">
        <v>96</v>
      </c>
      <c r="L48" s="5">
        <f t="shared" si="5"/>
        <v>1.5750000000000002</v>
      </c>
      <c r="M48" s="5">
        <f t="shared" si="6"/>
        <v>1.5750000000000002</v>
      </c>
      <c r="N48" s="5" t="s">
        <v>62</v>
      </c>
      <c r="O48" s="5">
        <f t="shared" si="7"/>
        <v>1.81125</v>
      </c>
    </row>
    <row r="49" spans="1:15" x14ac:dyDescent="0.4">
      <c r="A49" s="5" t="s">
        <v>298</v>
      </c>
      <c r="B49" s="5"/>
      <c r="C49" s="5" t="s">
        <v>299</v>
      </c>
      <c r="D49" s="5" t="s">
        <v>271</v>
      </c>
      <c r="E49" s="5" t="s">
        <v>272</v>
      </c>
      <c r="F49" s="5"/>
      <c r="G49" s="5" t="s">
        <v>300</v>
      </c>
      <c r="H49" s="5" t="s">
        <v>95</v>
      </c>
      <c r="I49" s="5">
        <f t="shared" si="4"/>
        <v>0</v>
      </c>
      <c r="J49" s="5" t="s">
        <v>301</v>
      </c>
      <c r="K49" s="5" t="s">
        <v>96</v>
      </c>
      <c r="L49" s="5">
        <f t="shared" si="5"/>
        <v>0.36</v>
      </c>
      <c r="M49" s="5">
        <f t="shared" si="6"/>
        <v>0.36</v>
      </c>
      <c r="N49" s="5" t="s">
        <v>62</v>
      </c>
      <c r="O49" s="5">
        <f t="shared" si="7"/>
        <v>0.41399999999999998</v>
      </c>
    </row>
    <row r="50" spans="1:15" x14ac:dyDescent="0.4">
      <c r="A50" s="4" t="s">
        <v>302</v>
      </c>
      <c r="B50" s="4" t="s">
        <v>303</v>
      </c>
      <c r="C50" s="4" t="s">
        <v>304</v>
      </c>
      <c r="D50" s="4" t="s">
        <v>305</v>
      </c>
      <c r="E50" s="4" t="s">
        <v>229</v>
      </c>
      <c r="F50" s="4"/>
      <c r="G50" s="4" t="s">
        <v>306</v>
      </c>
      <c r="H50" s="4" t="s">
        <v>125</v>
      </c>
      <c r="I50" s="4">
        <f t="shared" si="4"/>
        <v>0</v>
      </c>
      <c r="J50" s="4" t="s">
        <v>307</v>
      </c>
      <c r="K50" s="4" t="s">
        <v>96</v>
      </c>
      <c r="L50" s="4">
        <f t="shared" si="5"/>
        <v>1.3499999999999999</v>
      </c>
      <c r="M50" s="4">
        <f t="shared" si="6"/>
        <v>1.3499999999999999</v>
      </c>
      <c r="N50" s="4" t="s">
        <v>62</v>
      </c>
      <c r="O50" s="4">
        <f t="shared" si="7"/>
        <v>1.5524999999999998</v>
      </c>
    </row>
    <row r="51" spans="1:15" x14ac:dyDescent="0.4">
      <c r="A51" s="5" t="s">
        <v>308</v>
      </c>
      <c r="B51" s="5"/>
      <c r="C51" s="5" t="s">
        <v>309</v>
      </c>
      <c r="D51" s="5" t="s">
        <v>305</v>
      </c>
      <c r="E51" s="5" t="s">
        <v>229</v>
      </c>
      <c r="F51" s="5"/>
      <c r="G51" s="5" t="s">
        <v>310</v>
      </c>
      <c r="H51" s="5" t="s">
        <v>311</v>
      </c>
      <c r="I51" s="5">
        <f t="shared" si="4"/>
        <v>0</v>
      </c>
      <c r="J51" s="5" t="s">
        <v>312</v>
      </c>
      <c r="K51" s="5" t="s">
        <v>96</v>
      </c>
      <c r="L51" s="5">
        <f t="shared" si="5"/>
        <v>1.8</v>
      </c>
      <c r="M51" s="5">
        <f t="shared" si="6"/>
        <v>1.8</v>
      </c>
      <c r="N51" s="5" t="s">
        <v>62</v>
      </c>
      <c r="O51" s="5">
        <f t="shared" si="7"/>
        <v>2.0699999999999998</v>
      </c>
    </row>
    <row r="52" spans="1:15" x14ac:dyDescent="0.4">
      <c r="A52" s="5" t="s">
        <v>313</v>
      </c>
      <c r="B52" s="5"/>
      <c r="C52" s="5" t="s">
        <v>314</v>
      </c>
      <c r="D52" s="5" t="s">
        <v>305</v>
      </c>
      <c r="E52" s="5" t="s">
        <v>229</v>
      </c>
      <c r="F52" s="5"/>
      <c r="G52" s="5" t="s">
        <v>315</v>
      </c>
      <c r="H52" s="5" t="s">
        <v>316</v>
      </c>
      <c r="I52" s="5">
        <f t="shared" si="4"/>
        <v>0</v>
      </c>
      <c r="J52" s="5" t="s">
        <v>185</v>
      </c>
      <c r="K52" s="5" t="s">
        <v>96</v>
      </c>
      <c r="L52" s="5">
        <f t="shared" si="5"/>
        <v>2.6999999999999997</v>
      </c>
      <c r="M52" s="5">
        <f t="shared" si="6"/>
        <v>2.6999999999999997</v>
      </c>
      <c r="N52" s="5" t="s">
        <v>62</v>
      </c>
      <c r="O52" s="5">
        <f t="shared" si="7"/>
        <v>3.1049999999999995</v>
      </c>
    </row>
    <row r="53" spans="1:15" x14ac:dyDescent="0.4">
      <c r="A53" s="5" t="s">
        <v>317</v>
      </c>
      <c r="B53" s="5"/>
      <c r="C53" s="5" t="s">
        <v>318</v>
      </c>
      <c r="D53" s="5" t="s">
        <v>319</v>
      </c>
      <c r="E53" s="5" t="s">
        <v>229</v>
      </c>
      <c r="F53" s="5"/>
      <c r="G53" s="5" t="s">
        <v>315</v>
      </c>
      <c r="H53" s="5" t="s">
        <v>320</v>
      </c>
      <c r="I53" s="5">
        <f t="shared" si="4"/>
        <v>0</v>
      </c>
      <c r="J53" s="5" t="s">
        <v>185</v>
      </c>
      <c r="K53" s="5" t="s">
        <v>96</v>
      </c>
      <c r="L53" s="5">
        <f t="shared" si="5"/>
        <v>2.6999999999999997</v>
      </c>
      <c r="M53" s="5">
        <f t="shared" si="6"/>
        <v>2.6999999999999997</v>
      </c>
      <c r="N53" s="5" t="s">
        <v>62</v>
      </c>
      <c r="O53" s="5">
        <f t="shared" si="7"/>
        <v>3.1049999999999995</v>
      </c>
    </row>
    <row r="54" spans="1:15" x14ac:dyDescent="0.4">
      <c r="A54" s="5" t="s">
        <v>321</v>
      </c>
      <c r="B54" s="5"/>
      <c r="C54" s="5" t="s">
        <v>322</v>
      </c>
      <c r="D54" s="5" t="s">
        <v>323</v>
      </c>
      <c r="E54" s="5" t="s">
        <v>229</v>
      </c>
      <c r="F54" s="5"/>
      <c r="G54" s="5" t="s">
        <v>324</v>
      </c>
      <c r="H54" s="5" t="s">
        <v>325</v>
      </c>
      <c r="I54" s="5">
        <f t="shared" si="4"/>
        <v>0</v>
      </c>
      <c r="J54" s="5" t="s">
        <v>175</v>
      </c>
      <c r="K54" s="5" t="s">
        <v>96</v>
      </c>
      <c r="L54" s="5">
        <f t="shared" si="5"/>
        <v>3.6</v>
      </c>
      <c r="M54" s="5">
        <f t="shared" si="6"/>
        <v>3.6</v>
      </c>
      <c r="N54" s="5" t="s">
        <v>62</v>
      </c>
      <c r="O54" s="5">
        <f t="shared" si="7"/>
        <v>4.1399999999999997</v>
      </c>
    </row>
    <row r="55" spans="1:15" x14ac:dyDescent="0.4">
      <c r="A55" s="5" t="s">
        <v>326</v>
      </c>
      <c r="B55" s="5"/>
      <c r="C55" s="5" t="s">
        <v>327</v>
      </c>
      <c r="D55" s="5" t="s">
        <v>323</v>
      </c>
      <c r="E55" s="5" t="s">
        <v>229</v>
      </c>
      <c r="F55" s="5"/>
      <c r="G55" s="5" t="s">
        <v>276</v>
      </c>
      <c r="H55" s="5" t="s">
        <v>195</v>
      </c>
      <c r="I55" s="5">
        <f t="shared" si="4"/>
        <v>0</v>
      </c>
      <c r="J55" s="5" t="s">
        <v>156</v>
      </c>
      <c r="K55" s="5" t="s">
        <v>96</v>
      </c>
      <c r="L55" s="5">
        <f t="shared" si="5"/>
        <v>5.3999999999999995</v>
      </c>
      <c r="M55" s="5">
        <f t="shared" si="6"/>
        <v>5.3999999999999995</v>
      </c>
      <c r="N55" s="5" t="s">
        <v>62</v>
      </c>
      <c r="O55" s="5">
        <f t="shared" si="7"/>
        <v>6.2099999999999991</v>
      </c>
    </row>
    <row r="56" spans="1:15" x14ac:dyDescent="0.4">
      <c r="A56" s="5" t="s">
        <v>328</v>
      </c>
      <c r="B56" s="5"/>
      <c r="C56" s="5" t="s">
        <v>329</v>
      </c>
      <c r="D56" s="5" t="s">
        <v>330</v>
      </c>
      <c r="E56" s="5" t="s">
        <v>229</v>
      </c>
      <c r="F56" s="5"/>
      <c r="G56" s="5" t="s">
        <v>280</v>
      </c>
      <c r="H56" s="5" t="s">
        <v>94</v>
      </c>
      <c r="I56" s="5">
        <f t="shared" si="4"/>
        <v>0</v>
      </c>
      <c r="J56" s="5" t="s">
        <v>331</v>
      </c>
      <c r="K56" s="5" t="s">
        <v>96</v>
      </c>
      <c r="L56" s="5">
        <f t="shared" si="5"/>
        <v>2.25</v>
      </c>
      <c r="M56" s="5">
        <f t="shared" si="6"/>
        <v>2.25</v>
      </c>
      <c r="N56" s="5" t="s">
        <v>62</v>
      </c>
      <c r="O56" s="5">
        <f t="shared" si="7"/>
        <v>2.5874999999999999</v>
      </c>
    </row>
    <row r="57" spans="1:15" x14ac:dyDescent="0.4">
      <c r="A57" s="5" t="s">
        <v>332</v>
      </c>
      <c r="B57" s="5"/>
      <c r="C57" s="5" t="s">
        <v>333</v>
      </c>
      <c r="D57" s="5" t="s">
        <v>330</v>
      </c>
      <c r="E57" s="5" t="s">
        <v>229</v>
      </c>
      <c r="F57" s="5"/>
      <c r="G57" s="5" t="s">
        <v>334</v>
      </c>
      <c r="H57" s="5" t="s">
        <v>335</v>
      </c>
      <c r="I57" s="5">
        <f t="shared" si="4"/>
        <v>0</v>
      </c>
      <c r="J57" s="5" t="s">
        <v>175</v>
      </c>
      <c r="K57" s="5" t="s">
        <v>96</v>
      </c>
      <c r="L57" s="5">
        <f t="shared" si="5"/>
        <v>3.6</v>
      </c>
      <c r="M57" s="5">
        <f t="shared" si="6"/>
        <v>3.6</v>
      </c>
      <c r="N57" s="5" t="s">
        <v>62</v>
      </c>
      <c r="O57" s="5">
        <f t="shared" si="7"/>
        <v>4.1399999999999997</v>
      </c>
    </row>
    <row r="58" spans="1:15" x14ac:dyDescent="0.4">
      <c r="A58" s="5" t="s">
        <v>336</v>
      </c>
      <c r="B58" s="5"/>
      <c r="C58" s="5" t="s">
        <v>337</v>
      </c>
      <c r="D58" s="5" t="s">
        <v>330</v>
      </c>
      <c r="E58" s="5" t="s">
        <v>229</v>
      </c>
      <c r="F58" s="5"/>
      <c r="G58" s="5" t="s">
        <v>338</v>
      </c>
      <c r="H58" s="5" t="s">
        <v>339</v>
      </c>
      <c r="I58" s="5">
        <f t="shared" si="4"/>
        <v>0</v>
      </c>
      <c r="J58" s="5" t="s">
        <v>156</v>
      </c>
      <c r="K58" s="5" t="s">
        <v>96</v>
      </c>
      <c r="L58" s="5">
        <f t="shared" si="5"/>
        <v>5.3999999999999995</v>
      </c>
      <c r="M58" s="5">
        <f t="shared" si="6"/>
        <v>5.3999999999999995</v>
      </c>
      <c r="N58" s="5" t="s">
        <v>62</v>
      </c>
      <c r="O58" s="5">
        <f t="shared" si="7"/>
        <v>6.2099999999999991</v>
      </c>
    </row>
    <row r="59" spans="1:15" x14ac:dyDescent="0.4">
      <c r="A59" s="5" t="s">
        <v>340</v>
      </c>
      <c r="B59" s="5"/>
      <c r="C59" s="5" t="s">
        <v>341</v>
      </c>
      <c r="D59" s="5" t="s">
        <v>342</v>
      </c>
      <c r="E59" s="5" t="s">
        <v>343</v>
      </c>
      <c r="F59" s="5" t="s">
        <v>250</v>
      </c>
      <c r="G59" s="5" t="s">
        <v>344</v>
      </c>
      <c r="H59" s="5" t="str">
        <f ca="1">F59*H59</f>
        <v/>
      </c>
      <c r="I59" s="5" t="s">
        <v>345</v>
      </c>
      <c r="J59" s="5" t="s">
        <v>96</v>
      </c>
      <c r="K59" s="5" t="str">
        <f ca="1">J59*K59</f>
        <v/>
      </c>
      <c r="L59" s="5" t="str">
        <f ca="1">I59+L59</f>
        <v/>
      </c>
      <c r="M59" s="5" t="s">
        <v>62</v>
      </c>
      <c r="N59" s="5" t="str">
        <f ca="1">M59*(1+N59)</f>
        <v/>
      </c>
    </row>
    <row r="60" spans="1:15" x14ac:dyDescent="0.4">
      <c r="A60" s="4" t="s">
        <v>346</v>
      </c>
      <c r="B60" s="4" t="s">
        <v>347</v>
      </c>
      <c r="C60" s="4" t="s">
        <v>348</v>
      </c>
      <c r="D60" s="4" t="s">
        <v>349</v>
      </c>
      <c r="E60" s="4" t="s">
        <v>249</v>
      </c>
      <c r="F60" s="4"/>
      <c r="G60" s="4" t="s">
        <v>250</v>
      </c>
      <c r="H60" s="4" t="s">
        <v>115</v>
      </c>
      <c r="I60" s="4">
        <f t="shared" ref="I60:I76" si="8">F60*H60</f>
        <v>0</v>
      </c>
      <c r="J60" s="4" t="s">
        <v>345</v>
      </c>
      <c r="K60" s="4" t="s">
        <v>96</v>
      </c>
      <c r="L60" s="4">
        <f t="shared" ref="L60:L76" si="9">J60*K60</f>
        <v>0</v>
      </c>
      <c r="M60" s="4">
        <f t="shared" ref="M60:M76" si="10">I60+L60</f>
        <v>0</v>
      </c>
      <c r="N60" s="4" t="s">
        <v>62</v>
      </c>
      <c r="O60" s="4">
        <f t="shared" ref="O60:O76" si="11">M60*(1+N60)</f>
        <v>0</v>
      </c>
    </row>
    <row r="61" spans="1:15" x14ac:dyDescent="0.4">
      <c r="A61" s="5" t="s">
        <v>350</v>
      </c>
      <c r="B61" s="5"/>
      <c r="C61" s="5" t="s">
        <v>351</v>
      </c>
      <c r="D61" s="5" t="s">
        <v>352</v>
      </c>
      <c r="E61" s="5" t="s">
        <v>249</v>
      </c>
      <c r="F61" s="5"/>
      <c r="G61" s="5" t="s">
        <v>250</v>
      </c>
      <c r="H61" s="5" t="s">
        <v>353</v>
      </c>
      <c r="I61" s="5">
        <f t="shared" si="8"/>
        <v>0</v>
      </c>
      <c r="J61" s="5" t="s">
        <v>345</v>
      </c>
      <c r="K61" s="5" t="s">
        <v>96</v>
      </c>
      <c r="L61" s="5">
        <f t="shared" si="9"/>
        <v>0</v>
      </c>
      <c r="M61" s="5">
        <f t="shared" si="10"/>
        <v>0</v>
      </c>
      <c r="N61" s="5" t="s">
        <v>62</v>
      </c>
      <c r="O61" s="5">
        <f t="shared" si="11"/>
        <v>0</v>
      </c>
    </row>
    <row r="62" spans="1:15" x14ac:dyDescent="0.4">
      <c r="A62" s="5" t="s">
        <v>354</v>
      </c>
      <c r="B62" s="5"/>
      <c r="C62" s="5" t="s">
        <v>355</v>
      </c>
      <c r="D62" s="5" t="s">
        <v>356</v>
      </c>
      <c r="E62" s="5" t="s">
        <v>357</v>
      </c>
      <c r="F62" s="5"/>
      <c r="G62" s="5" t="s">
        <v>250</v>
      </c>
      <c r="H62" s="5" t="s">
        <v>175</v>
      </c>
      <c r="I62" s="5">
        <f t="shared" si="8"/>
        <v>0</v>
      </c>
      <c r="J62" s="5" t="s">
        <v>345</v>
      </c>
      <c r="K62" s="5" t="s">
        <v>96</v>
      </c>
      <c r="L62" s="5">
        <f t="shared" si="9"/>
        <v>0</v>
      </c>
      <c r="M62" s="5">
        <f t="shared" si="10"/>
        <v>0</v>
      </c>
      <c r="N62" s="5" t="s">
        <v>62</v>
      </c>
      <c r="O62" s="5">
        <f t="shared" si="11"/>
        <v>0</v>
      </c>
    </row>
    <row r="63" spans="1:15" x14ac:dyDescent="0.4">
      <c r="A63" s="4" t="s">
        <v>358</v>
      </c>
      <c r="B63" s="4" t="s">
        <v>359</v>
      </c>
      <c r="C63" s="4" t="s">
        <v>360</v>
      </c>
      <c r="D63" s="4" t="s">
        <v>361</v>
      </c>
      <c r="E63" s="4" t="s">
        <v>272</v>
      </c>
      <c r="F63" s="4"/>
      <c r="G63" s="4" t="s">
        <v>250</v>
      </c>
      <c r="H63" s="4" t="s">
        <v>196</v>
      </c>
      <c r="I63" s="4">
        <f t="shared" si="8"/>
        <v>0</v>
      </c>
      <c r="J63" s="4" t="s">
        <v>251</v>
      </c>
      <c r="K63" s="4" t="s">
        <v>96</v>
      </c>
      <c r="L63" s="4">
        <f t="shared" si="9"/>
        <v>0.67499999999999993</v>
      </c>
      <c r="M63" s="4">
        <f t="shared" si="10"/>
        <v>0.67499999999999993</v>
      </c>
      <c r="N63" s="4" t="s">
        <v>62</v>
      </c>
      <c r="O63" s="4">
        <f t="shared" si="11"/>
        <v>0.77624999999999988</v>
      </c>
    </row>
    <row r="64" spans="1:15" x14ac:dyDescent="0.4">
      <c r="A64" s="5" t="s">
        <v>362</v>
      </c>
      <c r="B64" s="5"/>
      <c r="C64" s="5" t="s">
        <v>363</v>
      </c>
      <c r="D64" s="5" t="s">
        <v>364</v>
      </c>
      <c r="E64" s="5" t="s">
        <v>272</v>
      </c>
      <c r="F64" s="5"/>
      <c r="G64" s="5" t="s">
        <v>250</v>
      </c>
      <c r="H64" s="5" t="s">
        <v>150</v>
      </c>
      <c r="I64" s="5">
        <f t="shared" si="8"/>
        <v>0</v>
      </c>
      <c r="J64" s="5" t="s">
        <v>289</v>
      </c>
      <c r="K64" s="5" t="s">
        <v>96</v>
      </c>
      <c r="L64" s="5">
        <f t="shared" si="9"/>
        <v>1.125</v>
      </c>
      <c r="M64" s="5">
        <f t="shared" si="10"/>
        <v>1.125</v>
      </c>
      <c r="N64" s="5" t="s">
        <v>62</v>
      </c>
      <c r="O64" s="5">
        <f t="shared" si="11"/>
        <v>1.29375</v>
      </c>
    </row>
    <row r="65" spans="1:15" x14ac:dyDescent="0.4">
      <c r="A65" s="5" t="s">
        <v>365</v>
      </c>
      <c r="B65" s="5"/>
      <c r="C65" s="5" t="s">
        <v>366</v>
      </c>
      <c r="D65" s="5" t="s">
        <v>367</v>
      </c>
      <c r="E65" s="5" t="s">
        <v>272</v>
      </c>
      <c r="F65" s="5"/>
      <c r="G65" s="5" t="s">
        <v>250</v>
      </c>
      <c r="H65" s="5" t="s">
        <v>169</v>
      </c>
      <c r="I65" s="5">
        <f t="shared" si="8"/>
        <v>0</v>
      </c>
      <c r="J65" s="5" t="s">
        <v>285</v>
      </c>
      <c r="K65" s="5" t="s">
        <v>96</v>
      </c>
      <c r="L65" s="5">
        <f t="shared" si="9"/>
        <v>0.9</v>
      </c>
      <c r="M65" s="5">
        <f t="shared" si="10"/>
        <v>0.9</v>
      </c>
      <c r="N65" s="5" t="s">
        <v>62</v>
      </c>
      <c r="O65" s="5">
        <f t="shared" si="11"/>
        <v>1.0349999999999999</v>
      </c>
    </row>
    <row r="66" spans="1:15" x14ac:dyDescent="0.4">
      <c r="A66" s="5" t="s">
        <v>368</v>
      </c>
      <c r="B66" s="5"/>
      <c r="C66" s="5" t="s">
        <v>369</v>
      </c>
      <c r="D66" s="5" t="s">
        <v>370</v>
      </c>
      <c r="E66" s="5" t="s">
        <v>272</v>
      </c>
      <c r="F66" s="5"/>
      <c r="G66" s="5" t="s">
        <v>250</v>
      </c>
      <c r="H66" s="5" t="s">
        <v>160</v>
      </c>
      <c r="I66" s="5">
        <f t="shared" si="8"/>
        <v>0</v>
      </c>
      <c r="J66" s="5" t="s">
        <v>277</v>
      </c>
      <c r="K66" s="5" t="s">
        <v>96</v>
      </c>
      <c r="L66" s="5">
        <f t="shared" si="9"/>
        <v>0.80999999999999994</v>
      </c>
      <c r="M66" s="5">
        <f t="shared" si="10"/>
        <v>0.80999999999999994</v>
      </c>
      <c r="N66" s="5" t="s">
        <v>62</v>
      </c>
      <c r="O66" s="5">
        <f t="shared" si="11"/>
        <v>0.93149999999999988</v>
      </c>
    </row>
    <row r="67" spans="1:15" x14ac:dyDescent="0.4">
      <c r="A67" s="5" t="s">
        <v>371</v>
      </c>
      <c r="B67" s="5"/>
      <c r="C67" s="5" t="s">
        <v>372</v>
      </c>
      <c r="D67" s="5" t="s">
        <v>373</v>
      </c>
      <c r="E67" s="5" t="s">
        <v>374</v>
      </c>
      <c r="F67" s="5"/>
      <c r="G67" s="5" t="s">
        <v>250</v>
      </c>
      <c r="H67" s="5" t="s">
        <v>375</v>
      </c>
      <c r="I67" s="5">
        <f t="shared" si="8"/>
        <v>0</v>
      </c>
      <c r="J67" s="5" t="s">
        <v>345</v>
      </c>
      <c r="K67" s="5" t="s">
        <v>96</v>
      </c>
      <c r="L67" s="5">
        <f t="shared" si="9"/>
        <v>0</v>
      </c>
      <c r="M67" s="5">
        <f t="shared" si="10"/>
        <v>0</v>
      </c>
      <c r="N67" s="5" t="s">
        <v>62</v>
      </c>
      <c r="O67" s="5">
        <f t="shared" si="11"/>
        <v>0</v>
      </c>
    </row>
    <row r="68" spans="1:15" x14ac:dyDescent="0.4">
      <c r="A68" s="4" t="s">
        <v>376</v>
      </c>
      <c r="B68" s="4" t="s">
        <v>377</v>
      </c>
      <c r="C68" s="4" t="s">
        <v>378</v>
      </c>
      <c r="D68" s="4" t="s">
        <v>379</v>
      </c>
      <c r="E68" s="4" t="s">
        <v>380</v>
      </c>
      <c r="F68" s="4"/>
      <c r="G68" s="4" t="s">
        <v>250</v>
      </c>
      <c r="H68" s="4" t="s">
        <v>381</v>
      </c>
      <c r="I68" s="4">
        <f t="shared" si="8"/>
        <v>0</v>
      </c>
      <c r="J68" s="4" t="s">
        <v>345</v>
      </c>
      <c r="K68" s="4" t="s">
        <v>96</v>
      </c>
      <c r="L68" s="4">
        <f t="shared" si="9"/>
        <v>0</v>
      </c>
      <c r="M68" s="4">
        <f t="shared" si="10"/>
        <v>0</v>
      </c>
      <c r="N68" s="4" t="s">
        <v>62</v>
      </c>
      <c r="O68" s="4">
        <f t="shared" si="11"/>
        <v>0</v>
      </c>
    </row>
    <row r="69" spans="1:15" x14ac:dyDescent="0.4">
      <c r="A69" s="5" t="s">
        <v>382</v>
      </c>
      <c r="B69" s="5"/>
      <c r="C69" s="5" t="s">
        <v>383</v>
      </c>
      <c r="D69" s="5" t="s">
        <v>379</v>
      </c>
      <c r="E69" s="5" t="s">
        <v>380</v>
      </c>
      <c r="F69" s="5"/>
      <c r="G69" s="5" t="s">
        <v>250</v>
      </c>
      <c r="H69" s="5" t="s">
        <v>384</v>
      </c>
      <c r="I69" s="5">
        <f t="shared" si="8"/>
        <v>0</v>
      </c>
      <c r="J69" s="5" t="s">
        <v>345</v>
      </c>
      <c r="K69" s="5" t="s">
        <v>96</v>
      </c>
      <c r="L69" s="5">
        <f t="shared" si="9"/>
        <v>0</v>
      </c>
      <c r="M69" s="5">
        <f t="shared" si="10"/>
        <v>0</v>
      </c>
      <c r="N69" s="5" t="s">
        <v>62</v>
      </c>
      <c r="O69" s="5">
        <f t="shared" si="11"/>
        <v>0</v>
      </c>
    </row>
    <row r="70" spans="1:15" x14ac:dyDescent="0.4">
      <c r="A70" s="5" t="s">
        <v>385</v>
      </c>
      <c r="B70" s="5"/>
      <c r="C70" s="5" t="s">
        <v>386</v>
      </c>
      <c r="D70" s="5" t="s">
        <v>379</v>
      </c>
      <c r="E70" s="5" t="s">
        <v>380</v>
      </c>
      <c r="F70" s="5"/>
      <c r="G70" s="5" t="s">
        <v>250</v>
      </c>
      <c r="H70" s="5" t="s">
        <v>387</v>
      </c>
      <c r="I70" s="5">
        <f t="shared" si="8"/>
        <v>0</v>
      </c>
      <c r="J70" s="5" t="s">
        <v>345</v>
      </c>
      <c r="K70" s="5" t="s">
        <v>96</v>
      </c>
      <c r="L70" s="5">
        <f t="shared" si="9"/>
        <v>0</v>
      </c>
      <c r="M70" s="5">
        <f t="shared" si="10"/>
        <v>0</v>
      </c>
      <c r="N70" s="5" t="s">
        <v>62</v>
      </c>
      <c r="O70" s="5">
        <f t="shared" si="11"/>
        <v>0</v>
      </c>
    </row>
    <row r="71" spans="1:15" x14ac:dyDescent="0.4">
      <c r="A71" s="5" t="s">
        <v>388</v>
      </c>
      <c r="B71" s="5"/>
      <c r="C71" s="5" t="s">
        <v>389</v>
      </c>
      <c r="D71" s="5" t="s">
        <v>390</v>
      </c>
      <c r="E71" s="5" t="s">
        <v>380</v>
      </c>
      <c r="F71" s="5"/>
      <c r="G71" s="5" t="s">
        <v>250</v>
      </c>
      <c r="H71" s="5" t="s">
        <v>391</v>
      </c>
      <c r="I71" s="5">
        <f t="shared" si="8"/>
        <v>0</v>
      </c>
      <c r="J71" s="5" t="s">
        <v>345</v>
      </c>
      <c r="K71" s="5" t="s">
        <v>96</v>
      </c>
      <c r="L71" s="5">
        <f t="shared" si="9"/>
        <v>0</v>
      </c>
      <c r="M71" s="5">
        <f t="shared" si="10"/>
        <v>0</v>
      </c>
      <c r="N71" s="5" t="s">
        <v>62</v>
      </c>
      <c r="O71" s="5">
        <f t="shared" si="11"/>
        <v>0</v>
      </c>
    </row>
    <row r="72" spans="1:15" x14ac:dyDescent="0.4">
      <c r="A72" s="4" t="s">
        <v>392</v>
      </c>
      <c r="B72" s="4" t="s">
        <v>393</v>
      </c>
      <c r="C72" s="4" t="s">
        <v>394</v>
      </c>
      <c r="D72" s="4" t="s">
        <v>395</v>
      </c>
      <c r="E72" s="4" t="s">
        <v>396</v>
      </c>
      <c r="F72" s="4"/>
      <c r="G72" s="4" t="s">
        <v>250</v>
      </c>
      <c r="H72" s="4" t="s">
        <v>381</v>
      </c>
      <c r="I72" s="4">
        <f t="shared" si="8"/>
        <v>0</v>
      </c>
      <c r="J72" s="4" t="s">
        <v>345</v>
      </c>
      <c r="K72" s="4" t="s">
        <v>96</v>
      </c>
      <c r="L72" s="4">
        <f t="shared" si="9"/>
        <v>0</v>
      </c>
      <c r="M72" s="4">
        <f t="shared" si="10"/>
        <v>0</v>
      </c>
      <c r="N72" s="4" t="s">
        <v>62</v>
      </c>
      <c r="O72" s="4">
        <f t="shared" si="11"/>
        <v>0</v>
      </c>
    </row>
    <row r="73" spans="1:15" x14ac:dyDescent="0.4">
      <c r="A73" s="5" t="s">
        <v>397</v>
      </c>
      <c r="B73" s="5"/>
      <c r="C73" s="5" t="s">
        <v>398</v>
      </c>
      <c r="D73" s="5" t="s">
        <v>399</v>
      </c>
      <c r="E73" s="5" t="s">
        <v>272</v>
      </c>
      <c r="F73" s="5"/>
      <c r="G73" s="5" t="s">
        <v>250</v>
      </c>
      <c r="H73" s="5" t="s">
        <v>353</v>
      </c>
      <c r="I73" s="5">
        <f t="shared" si="8"/>
        <v>0</v>
      </c>
      <c r="J73" s="5" t="s">
        <v>345</v>
      </c>
      <c r="K73" s="5" t="s">
        <v>96</v>
      </c>
      <c r="L73" s="5">
        <f t="shared" si="9"/>
        <v>0</v>
      </c>
      <c r="M73" s="5">
        <f t="shared" si="10"/>
        <v>0</v>
      </c>
      <c r="N73" s="5" t="s">
        <v>62</v>
      </c>
      <c r="O73" s="5">
        <f t="shared" si="11"/>
        <v>0</v>
      </c>
    </row>
    <row r="74" spans="1:15" x14ac:dyDescent="0.4">
      <c r="A74" s="5" t="s">
        <v>400</v>
      </c>
      <c r="B74" s="5"/>
      <c r="C74" s="5" t="s">
        <v>401</v>
      </c>
      <c r="D74" s="5" t="s">
        <v>402</v>
      </c>
      <c r="E74" s="5" t="s">
        <v>272</v>
      </c>
      <c r="F74" s="5"/>
      <c r="G74" s="5" t="s">
        <v>250</v>
      </c>
      <c r="H74" s="5" t="s">
        <v>403</v>
      </c>
      <c r="I74" s="5">
        <f t="shared" si="8"/>
        <v>0</v>
      </c>
      <c r="J74" s="5" t="s">
        <v>345</v>
      </c>
      <c r="K74" s="5" t="s">
        <v>96</v>
      </c>
      <c r="L74" s="5">
        <f t="shared" si="9"/>
        <v>0</v>
      </c>
      <c r="M74" s="5">
        <f t="shared" si="10"/>
        <v>0</v>
      </c>
      <c r="N74" s="5" t="s">
        <v>62</v>
      </c>
      <c r="O74" s="5">
        <f t="shared" si="11"/>
        <v>0</v>
      </c>
    </row>
    <row r="75" spans="1:15" x14ac:dyDescent="0.4">
      <c r="A75" s="5" t="s">
        <v>404</v>
      </c>
      <c r="B75" s="5"/>
      <c r="C75" s="5" t="s">
        <v>405</v>
      </c>
      <c r="D75" s="5" t="s">
        <v>406</v>
      </c>
      <c r="E75" s="5" t="s">
        <v>407</v>
      </c>
      <c r="F75" s="5"/>
      <c r="G75" s="5" t="s">
        <v>250</v>
      </c>
      <c r="H75" s="5" t="s">
        <v>391</v>
      </c>
      <c r="I75" s="5">
        <f t="shared" si="8"/>
        <v>0</v>
      </c>
      <c r="J75" s="5" t="s">
        <v>345</v>
      </c>
      <c r="K75" s="5" t="s">
        <v>96</v>
      </c>
      <c r="L75" s="5">
        <f t="shared" si="9"/>
        <v>0</v>
      </c>
      <c r="M75" s="5">
        <f t="shared" si="10"/>
        <v>0</v>
      </c>
      <c r="N75" s="5" t="s">
        <v>62</v>
      </c>
      <c r="O75" s="5">
        <f t="shared" si="11"/>
        <v>0</v>
      </c>
    </row>
    <row r="76" spans="1:15" x14ac:dyDescent="0.4">
      <c r="A76" s="5" t="s">
        <v>408</v>
      </c>
      <c r="B76" s="5"/>
      <c r="C76" s="5" t="s">
        <v>409</v>
      </c>
      <c r="D76" s="5" t="s">
        <v>410</v>
      </c>
      <c r="E76" s="5" t="s">
        <v>407</v>
      </c>
      <c r="F76" s="5"/>
      <c r="G76" s="5" t="s">
        <v>250</v>
      </c>
      <c r="H76" s="5" t="s">
        <v>411</v>
      </c>
      <c r="I76" s="5">
        <f t="shared" si="8"/>
        <v>0</v>
      </c>
      <c r="J76" s="5" t="s">
        <v>345</v>
      </c>
      <c r="K76" s="5" t="s">
        <v>96</v>
      </c>
      <c r="L76" s="5">
        <f t="shared" si="9"/>
        <v>0</v>
      </c>
      <c r="M76" s="5">
        <f t="shared" si="10"/>
        <v>0</v>
      </c>
      <c r="N76" s="5" t="s">
        <v>62</v>
      </c>
      <c r="O76" s="5">
        <f t="shared" si="11"/>
        <v>0</v>
      </c>
    </row>
    <row r="77" spans="1:15" x14ac:dyDescent="0.4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</row>
    <row r="78" spans="1:15" x14ac:dyDescent="0.4">
      <c r="A78" s="6" t="s">
        <v>412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>
        <f>SUM(O2:O76)</f>
        <v>605.88900000000012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33"/>
  <sheetViews>
    <sheetView workbookViewId="0">
      <selection activeCell="Q14" sqref="Q14"/>
    </sheetView>
  </sheetViews>
  <sheetFormatPr defaultRowHeight="14.6" x14ac:dyDescent="0.4"/>
  <cols>
    <col min="1" max="1" width="9" customWidth="1"/>
    <col min="2" max="2" width="11.765625" bestFit="1" customWidth="1"/>
    <col min="3" max="3" width="26" customWidth="1"/>
    <col min="4" max="10" width="9" customWidth="1"/>
    <col min="11" max="11" width="12.3828125" customWidth="1"/>
    <col min="12" max="14" width="9" customWidth="1"/>
  </cols>
  <sheetData>
    <row r="1" spans="1:14" ht="29.15" x14ac:dyDescent="0.4">
      <c r="A1" s="7" t="s">
        <v>73</v>
      </c>
      <c r="B1" s="7" t="s">
        <v>74</v>
      </c>
      <c r="C1" s="7" t="s">
        <v>413</v>
      </c>
      <c r="D1" s="7" t="s">
        <v>77</v>
      </c>
      <c r="E1" s="7" t="s">
        <v>78</v>
      </c>
      <c r="F1" s="7" t="s">
        <v>414</v>
      </c>
      <c r="G1" s="7" t="s">
        <v>415</v>
      </c>
      <c r="H1" s="7" t="s">
        <v>416</v>
      </c>
      <c r="I1" s="7" t="s">
        <v>417</v>
      </c>
      <c r="J1" s="7" t="s">
        <v>84</v>
      </c>
      <c r="K1" s="7" t="s">
        <v>418</v>
      </c>
      <c r="L1" s="7" t="s">
        <v>85</v>
      </c>
      <c r="M1" s="7" t="s">
        <v>419</v>
      </c>
      <c r="N1" s="7" t="s">
        <v>87</v>
      </c>
    </row>
    <row r="2" spans="1:14" x14ac:dyDescent="0.4">
      <c r="A2" s="8" t="s">
        <v>420</v>
      </c>
      <c r="B2" s="8" t="s">
        <v>421</v>
      </c>
      <c r="C2" s="8" t="s">
        <v>422</v>
      </c>
      <c r="D2" s="8" t="s">
        <v>423</v>
      </c>
      <c r="E2" s="8" t="s">
        <v>250</v>
      </c>
      <c r="F2" s="8" t="s">
        <v>424</v>
      </c>
      <c r="G2" s="8" t="s">
        <v>425</v>
      </c>
      <c r="H2" s="8">
        <f t="shared" ref="H2:H7" si="0">E2*G2</f>
        <v>8</v>
      </c>
      <c r="I2" s="8" t="s">
        <v>96</v>
      </c>
      <c r="J2" s="8">
        <f t="shared" ref="J2:J31" si="1">H2*I2</f>
        <v>360</v>
      </c>
      <c r="K2" s="19" t="s">
        <v>384</v>
      </c>
      <c r="L2" s="8">
        <f t="shared" ref="L2:L31" si="2">J2+K2</f>
        <v>2210</v>
      </c>
      <c r="M2" s="8" t="s">
        <v>67</v>
      </c>
      <c r="N2" s="8">
        <f t="shared" ref="N2:N31" si="3">L2*(1+M2)</f>
        <v>2475.2000000000003</v>
      </c>
    </row>
    <row r="3" spans="1:14" x14ac:dyDescent="0.4">
      <c r="A3" s="5" t="s">
        <v>426</v>
      </c>
      <c r="B3" s="5"/>
      <c r="C3" s="5" t="s">
        <v>427</v>
      </c>
      <c r="D3" s="5" t="s">
        <v>428</v>
      </c>
      <c r="E3" s="5"/>
      <c r="F3" s="5" t="s">
        <v>429</v>
      </c>
      <c r="G3" s="5" t="s">
        <v>430</v>
      </c>
      <c r="H3" s="5">
        <f t="shared" si="0"/>
        <v>0</v>
      </c>
      <c r="I3" s="5" t="s">
        <v>96</v>
      </c>
      <c r="J3" s="5">
        <f t="shared" si="1"/>
        <v>0</v>
      </c>
      <c r="K3" s="20" t="s">
        <v>431</v>
      </c>
      <c r="L3" s="5">
        <f t="shared" si="2"/>
        <v>450</v>
      </c>
      <c r="M3" s="5" t="s">
        <v>67</v>
      </c>
      <c r="N3" s="5">
        <f t="shared" si="3"/>
        <v>504.00000000000006</v>
      </c>
    </row>
    <row r="4" spans="1:14" x14ac:dyDescent="0.4">
      <c r="A4" s="5" t="s">
        <v>432</v>
      </c>
      <c r="B4" s="5"/>
      <c r="C4" s="5" t="s">
        <v>433</v>
      </c>
      <c r="D4" s="5" t="s">
        <v>423</v>
      </c>
      <c r="E4" s="5" t="s">
        <v>250</v>
      </c>
      <c r="F4" s="5" t="s">
        <v>429</v>
      </c>
      <c r="G4" s="5" t="s">
        <v>434</v>
      </c>
      <c r="H4" s="5">
        <f t="shared" si="0"/>
        <v>12</v>
      </c>
      <c r="I4" s="5" t="s">
        <v>96</v>
      </c>
      <c r="J4" s="5">
        <f t="shared" si="1"/>
        <v>540</v>
      </c>
      <c r="K4" s="20" t="s">
        <v>435</v>
      </c>
      <c r="L4" s="5">
        <f t="shared" si="2"/>
        <v>1190</v>
      </c>
      <c r="M4" s="5" t="s">
        <v>67</v>
      </c>
      <c r="N4" s="5">
        <f t="shared" si="3"/>
        <v>1332.8000000000002</v>
      </c>
    </row>
    <row r="5" spans="1:14" x14ac:dyDescent="0.4">
      <c r="A5" s="8" t="s">
        <v>436</v>
      </c>
      <c r="B5" s="8" t="s">
        <v>437</v>
      </c>
      <c r="C5" s="8" t="s">
        <v>438</v>
      </c>
      <c r="D5" s="8" t="s">
        <v>428</v>
      </c>
      <c r="E5" s="8"/>
      <c r="F5" s="8" t="s">
        <v>250</v>
      </c>
      <c r="G5" s="8" t="s">
        <v>425</v>
      </c>
      <c r="H5" s="8">
        <f t="shared" si="0"/>
        <v>0</v>
      </c>
      <c r="I5" s="8" t="s">
        <v>149</v>
      </c>
      <c r="J5" s="8">
        <f t="shared" si="1"/>
        <v>0</v>
      </c>
      <c r="K5" s="19" t="s">
        <v>384</v>
      </c>
      <c r="L5" s="8">
        <f t="shared" si="2"/>
        <v>1850</v>
      </c>
      <c r="M5" s="8" t="s">
        <v>67</v>
      </c>
      <c r="N5" s="8">
        <f t="shared" si="3"/>
        <v>2072</v>
      </c>
    </row>
    <row r="6" spans="1:14" x14ac:dyDescent="0.4">
      <c r="A6" s="5" t="s">
        <v>439</v>
      </c>
      <c r="B6" s="5"/>
      <c r="C6" s="5" t="s">
        <v>440</v>
      </c>
      <c r="D6" s="5" t="s">
        <v>428</v>
      </c>
      <c r="E6" s="5"/>
      <c r="F6" s="5" t="s">
        <v>250</v>
      </c>
      <c r="G6" s="5" t="s">
        <v>425</v>
      </c>
      <c r="H6" s="5">
        <f>E6*G6</f>
        <v>0</v>
      </c>
      <c r="I6" s="5" t="s">
        <v>149</v>
      </c>
      <c r="J6" s="5">
        <f t="shared" si="1"/>
        <v>0</v>
      </c>
      <c r="K6" s="20" t="s">
        <v>441</v>
      </c>
      <c r="L6" s="5">
        <f t="shared" si="2"/>
        <v>2450</v>
      </c>
      <c r="M6" s="5" t="s">
        <v>67</v>
      </c>
      <c r="N6" s="5">
        <f t="shared" si="3"/>
        <v>2744.0000000000005</v>
      </c>
    </row>
    <row r="7" spans="1:14" x14ac:dyDescent="0.4">
      <c r="A7" s="5" t="s">
        <v>442</v>
      </c>
      <c r="B7" s="5"/>
      <c r="C7" s="5" t="s">
        <v>443</v>
      </c>
      <c r="D7" s="5" t="s">
        <v>428</v>
      </c>
      <c r="E7" s="5"/>
      <c r="F7" s="5" t="s">
        <v>250</v>
      </c>
      <c r="G7" s="5" t="s">
        <v>425</v>
      </c>
      <c r="H7" s="5">
        <f t="shared" si="0"/>
        <v>0</v>
      </c>
      <c r="I7" s="5" t="s">
        <v>149</v>
      </c>
      <c r="J7" s="5">
        <f t="shared" si="1"/>
        <v>0</v>
      </c>
      <c r="K7" s="20" t="s">
        <v>387</v>
      </c>
      <c r="L7" s="5">
        <f t="shared" si="2"/>
        <v>3200</v>
      </c>
      <c r="M7" s="5" t="s">
        <v>67</v>
      </c>
      <c r="N7" s="5">
        <f t="shared" si="3"/>
        <v>3584.0000000000005</v>
      </c>
    </row>
    <row r="8" spans="1:14" x14ac:dyDescent="0.4">
      <c r="A8" s="5" t="s">
        <v>444</v>
      </c>
      <c r="B8" s="5"/>
      <c r="C8" s="5" t="s">
        <v>445</v>
      </c>
      <c r="D8" s="5" t="s">
        <v>428</v>
      </c>
      <c r="E8" s="5"/>
      <c r="F8" s="5" t="s">
        <v>345</v>
      </c>
      <c r="G8" s="5" t="s">
        <v>345</v>
      </c>
      <c r="H8" s="5">
        <f>E8*8</f>
        <v>0</v>
      </c>
      <c r="I8" s="5" t="s">
        <v>345</v>
      </c>
      <c r="J8" s="5">
        <f t="shared" si="1"/>
        <v>0</v>
      </c>
      <c r="K8" s="20" t="s">
        <v>431</v>
      </c>
      <c r="L8" s="5">
        <f t="shared" si="2"/>
        <v>450</v>
      </c>
      <c r="M8" s="5" t="s">
        <v>67</v>
      </c>
      <c r="N8" s="5">
        <f t="shared" si="3"/>
        <v>504.00000000000006</v>
      </c>
    </row>
    <row r="9" spans="1:14" x14ac:dyDescent="0.4">
      <c r="A9" s="8" t="s">
        <v>446</v>
      </c>
      <c r="B9" s="8" t="s">
        <v>447</v>
      </c>
      <c r="C9" s="8" t="s">
        <v>448</v>
      </c>
      <c r="D9" s="8" t="s">
        <v>396</v>
      </c>
      <c r="E9" s="8"/>
      <c r="F9" s="8" t="s">
        <v>449</v>
      </c>
      <c r="G9" s="8" t="s">
        <v>450</v>
      </c>
      <c r="H9" s="8">
        <f t="shared" ref="H9:H31" si="4">E9*G9</f>
        <v>0</v>
      </c>
      <c r="I9" s="8" t="s">
        <v>96</v>
      </c>
      <c r="J9" s="8">
        <f t="shared" si="1"/>
        <v>0</v>
      </c>
      <c r="K9" s="19" t="s">
        <v>178</v>
      </c>
      <c r="L9" s="8">
        <f t="shared" si="2"/>
        <v>35</v>
      </c>
      <c r="M9" s="8" t="s">
        <v>67</v>
      </c>
      <c r="N9" s="8">
        <f t="shared" si="3"/>
        <v>39.200000000000003</v>
      </c>
    </row>
    <row r="10" spans="1:14" x14ac:dyDescent="0.4">
      <c r="A10" s="8" t="s">
        <v>451</v>
      </c>
      <c r="B10" s="8" t="s">
        <v>452</v>
      </c>
      <c r="C10" s="8" t="s">
        <v>453</v>
      </c>
      <c r="D10" s="8" t="s">
        <v>229</v>
      </c>
      <c r="E10" s="8"/>
      <c r="F10" s="8" t="s">
        <v>454</v>
      </c>
      <c r="G10" s="8" t="s">
        <v>296</v>
      </c>
      <c r="H10" s="8">
        <f t="shared" si="4"/>
        <v>0</v>
      </c>
      <c r="I10" s="8" t="s">
        <v>96</v>
      </c>
      <c r="J10" s="8">
        <f t="shared" si="1"/>
        <v>0</v>
      </c>
      <c r="K10" s="19" t="s">
        <v>455</v>
      </c>
      <c r="L10" s="8">
        <f t="shared" si="2"/>
        <v>225</v>
      </c>
      <c r="M10" s="8" t="s">
        <v>67</v>
      </c>
      <c r="N10" s="8">
        <f t="shared" si="3"/>
        <v>252.00000000000003</v>
      </c>
    </row>
    <row r="11" spans="1:14" x14ac:dyDescent="0.4">
      <c r="A11" s="5" t="s">
        <v>456</v>
      </c>
      <c r="B11" s="5"/>
      <c r="C11" s="5" t="s">
        <v>457</v>
      </c>
      <c r="D11" s="5" t="s">
        <v>229</v>
      </c>
      <c r="E11" s="5"/>
      <c r="F11" s="5" t="s">
        <v>424</v>
      </c>
      <c r="G11" s="5" t="s">
        <v>280</v>
      </c>
      <c r="H11" s="5">
        <f t="shared" si="4"/>
        <v>0</v>
      </c>
      <c r="I11" s="5" t="s">
        <v>96</v>
      </c>
      <c r="J11" s="5">
        <f t="shared" si="1"/>
        <v>0</v>
      </c>
      <c r="K11" s="20" t="s">
        <v>458</v>
      </c>
      <c r="L11" s="5">
        <f t="shared" si="2"/>
        <v>175</v>
      </c>
      <c r="M11" s="5" t="s">
        <v>67</v>
      </c>
      <c r="N11" s="5">
        <f t="shared" si="3"/>
        <v>196.00000000000003</v>
      </c>
    </row>
    <row r="12" spans="1:14" x14ac:dyDescent="0.4">
      <c r="A12" s="5" t="s">
        <v>459</v>
      </c>
      <c r="B12" s="5"/>
      <c r="C12" s="5" t="s">
        <v>460</v>
      </c>
      <c r="D12" s="5" t="s">
        <v>229</v>
      </c>
      <c r="E12" s="5"/>
      <c r="F12" s="5" t="s">
        <v>449</v>
      </c>
      <c r="G12" s="5" t="s">
        <v>461</v>
      </c>
      <c r="H12" s="5">
        <f t="shared" si="4"/>
        <v>0</v>
      </c>
      <c r="I12" s="5" t="s">
        <v>96</v>
      </c>
      <c r="J12" s="5">
        <f t="shared" si="1"/>
        <v>0</v>
      </c>
      <c r="K12" s="20" t="s">
        <v>462</v>
      </c>
      <c r="L12" s="5">
        <f t="shared" si="2"/>
        <v>125</v>
      </c>
      <c r="M12" s="5" t="s">
        <v>67</v>
      </c>
      <c r="N12" s="5">
        <f t="shared" si="3"/>
        <v>140</v>
      </c>
    </row>
    <row r="13" spans="1:14" x14ac:dyDescent="0.4">
      <c r="A13" s="8" t="s">
        <v>463</v>
      </c>
      <c r="B13" s="8" t="s">
        <v>464</v>
      </c>
      <c r="C13" s="8" t="s">
        <v>465</v>
      </c>
      <c r="D13" s="8" t="s">
        <v>229</v>
      </c>
      <c r="E13" s="8"/>
      <c r="F13" s="8" t="s">
        <v>454</v>
      </c>
      <c r="G13" s="8" t="s">
        <v>280</v>
      </c>
      <c r="H13" s="8">
        <f t="shared" si="4"/>
        <v>0</v>
      </c>
      <c r="I13" s="8" t="s">
        <v>96</v>
      </c>
      <c r="J13" s="8">
        <f t="shared" si="1"/>
        <v>0</v>
      </c>
      <c r="K13" s="19" t="s">
        <v>466</v>
      </c>
      <c r="L13" s="8">
        <f t="shared" si="2"/>
        <v>195</v>
      </c>
      <c r="M13" s="8" t="s">
        <v>67</v>
      </c>
      <c r="N13" s="8">
        <f t="shared" si="3"/>
        <v>218.40000000000003</v>
      </c>
    </row>
    <row r="14" spans="1:14" x14ac:dyDescent="0.4">
      <c r="A14" s="5" t="s">
        <v>467</v>
      </c>
      <c r="B14" s="5"/>
      <c r="C14" s="5" t="s">
        <v>468</v>
      </c>
      <c r="D14" s="5" t="s">
        <v>229</v>
      </c>
      <c r="E14" s="5"/>
      <c r="F14" s="5" t="s">
        <v>424</v>
      </c>
      <c r="G14" s="5" t="s">
        <v>284</v>
      </c>
      <c r="H14" s="5">
        <f>E14*G14</f>
        <v>0</v>
      </c>
      <c r="I14" s="5" t="s">
        <v>96</v>
      </c>
      <c r="J14" s="5">
        <f t="shared" si="1"/>
        <v>0</v>
      </c>
      <c r="K14" s="20" t="s">
        <v>469</v>
      </c>
      <c r="L14" s="5">
        <f>J14+K14</f>
        <v>155</v>
      </c>
      <c r="M14" s="5" t="s">
        <v>67</v>
      </c>
      <c r="N14" s="5">
        <f>L14*(1+M14)</f>
        <v>173.60000000000002</v>
      </c>
    </row>
    <row r="15" spans="1:14" x14ac:dyDescent="0.4">
      <c r="A15" s="5" t="s">
        <v>470</v>
      </c>
      <c r="B15" s="5"/>
      <c r="C15" s="5" t="s">
        <v>471</v>
      </c>
      <c r="D15" s="5" t="s">
        <v>229</v>
      </c>
      <c r="E15" s="5"/>
      <c r="F15" s="5" t="s">
        <v>424</v>
      </c>
      <c r="G15" s="5" t="s">
        <v>472</v>
      </c>
      <c r="H15" s="5">
        <f t="shared" si="4"/>
        <v>0</v>
      </c>
      <c r="I15" s="5" t="s">
        <v>96</v>
      </c>
      <c r="J15" s="5">
        <f t="shared" si="1"/>
        <v>0</v>
      </c>
      <c r="K15" s="20" t="s">
        <v>462</v>
      </c>
      <c r="L15" s="5">
        <f t="shared" si="2"/>
        <v>125</v>
      </c>
      <c r="M15" s="5" t="s">
        <v>67</v>
      </c>
      <c r="N15" s="5">
        <f t="shared" si="3"/>
        <v>140</v>
      </c>
    </row>
    <row r="16" spans="1:14" x14ac:dyDescent="0.4">
      <c r="A16" s="5" t="s">
        <v>473</v>
      </c>
      <c r="B16" s="5"/>
      <c r="C16" s="5" t="s">
        <v>474</v>
      </c>
      <c r="D16" s="5" t="s">
        <v>229</v>
      </c>
      <c r="E16" s="5"/>
      <c r="F16" s="5" t="s">
        <v>449</v>
      </c>
      <c r="G16" s="5" t="s">
        <v>324</v>
      </c>
      <c r="H16" s="5">
        <f t="shared" si="4"/>
        <v>0</v>
      </c>
      <c r="I16" s="5" t="s">
        <v>96</v>
      </c>
      <c r="J16" s="5">
        <f t="shared" si="1"/>
        <v>0</v>
      </c>
      <c r="K16" s="20" t="s">
        <v>475</v>
      </c>
      <c r="L16" s="5">
        <f t="shared" si="2"/>
        <v>95</v>
      </c>
      <c r="M16" s="5" t="s">
        <v>67</v>
      </c>
      <c r="N16" s="5">
        <f t="shared" si="3"/>
        <v>106.4</v>
      </c>
    </row>
    <row r="17" spans="1:14" x14ac:dyDescent="0.4">
      <c r="A17" s="5" t="s">
        <v>476</v>
      </c>
      <c r="B17" s="5"/>
      <c r="C17" s="5" t="s">
        <v>477</v>
      </c>
      <c r="D17" s="5" t="s">
        <v>229</v>
      </c>
      <c r="E17" s="5"/>
      <c r="F17" s="5" t="s">
        <v>449</v>
      </c>
      <c r="G17" s="5" t="s">
        <v>478</v>
      </c>
      <c r="H17" s="5">
        <f t="shared" si="4"/>
        <v>0</v>
      </c>
      <c r="I17" s="5" t="s">
        <v>96</v>
      </c>
      <c r="J17" s="5">
        <f t="shared" si="1"/>
        <v>0</v>
      </c>
      <c r="K17" s="20" t="s">
        <v>479</v>
      </c>
      <c r="L17" s="5">
        <f t="shared" si="2"/>
        <v>75</v>
      </c>
      <c r="M17" s="5" t="s">
        <v>67</v>
      </c>
      <c r="N17" s="5">
        <f t="shared" si="3"/>
        <v>84.000000000000014</v>
      </c>
    </row>
    <row r="18" spans="1:14" x14ac:dyDescent="0.4">
      <c r="A18" s="5" t="s">
        <v>480</v>
      </c>
      <c r="B18" s="5"/>
      <c r="C18" s="5" t="s">
        <v>481</v>
      </c>
      <c r="D18" s="5" t="s">
        <v>229</v>
      </c>
      <c r="E18" s="5"/>
      <c r="F18" s="5" t="s">
        <v>449</v>
      </c>
      <c r="G18" s="5" t="s">
        <v>482</v>
      </c>
      <c r="H18" s="5">
        <f t="shared" si="4"/>
        <v>0</v>
      </c>
      <c r="I18" s="5" t="s">
        <v>96</v>
      </c>
      <c r="J18" s="5">
        <f t="shared" si="1"/>
        <v>0</v>
      </c>
      <c r="K18" s="20" t="s">
        <v>483</v>
      </c>
      <c r="L18" s="5">
        <f t="shared" si="2"/>
        <v>60</v>
      </c>
      <c r="M18" s="5" t="s">
        <v>67</v>
      </c>
      <c r="N18" s="5">
        <f t="shared" si="3"/>
        <v>67.2</v>
      </c>
    </row>
    <row r="19" spans="1:14" x14ac:dyDescent="0.4">
      <c r="A19" s="5" t="s">
        <v>484</v>
      </c>
      <c r="B19" s="5"/>
      <c r="C19" s="5" t="s">
        <v>485</v>
      </c>
      <c r="D19" s="5" t="s">
        <v>229</v>
      </c>
      <c r="E19" s="5"/>
      <c r="F19" s="5" t="s">
        <v>429</v>
      </c>
      <c r="G19" s="5" t="s">
        <v>300</v>
      </c>
      <c r="H19" s="5">
        <f t="shared" si="4"/>
        <v>0</v>
      </c>
      <c r="I19" s="5" t="s">
        <v>96</v>
      </c>
      <c r="J19" s="5">
        <f t="shared" si="1"/>
        <v>0</v>
      </c>
      <c r="K19" s="20" t="s">
        <v>96</v>
      </c>
      <c r="L19" s="5">
        <f t="shared" si="2"/>
        <v>45</v>
      </c>
      <c r="M19" s="5" t="s">
        <v>67</v>
      </c>
      <c r="N19" s="5">
        <f t="shared" si="3"/>
        <v>50.400000000000006</v>
      </c>
    </row>
    <row r="20" spans="1:14" x14ac:dyDescent="0.4">
      <c r="A20" s="8" t="s">
        <v>486</v>
      </c>
      <c r="B20" s="8" t="s">
        <v>487</v>
      </c>
      <c r="C20" s="8" t="s">
        <v>488</v>
      </c>
      <c r="D20" s="8" t="s">
        <v>229</v>
      </c>
      <c r="E20" s="8"/>
      <c r="F20" s="8" t="s">
        <v>429</v>
      </c>
      <c r="G20" s="8" t="s">
        <v>218</v>
      </c>
      <c r="H20" s="8">
        <f t="shared" si="4"/>
        <v>0</v>
      </c>
      <c r="I20" s="8" t="s">
        <v>96</v>
      </c>
      <c r="J20" s="8">
        <f t="shared" si="1"/>
        <v>0</v>
      </c>
      <c r="K20" s="19" t="s">
        <v>489</v>
      </c>
      <c r="L20" s="8">
        <f t="shared" si="2"/>
        <v>15</v>
      </c>
      <c r="M20" s="8" t="s">
        <v>67</v>
      </c>
      <c r="N20" s="8">
        <f t="shared" si="3"/>
        <v>16.8</v>
      </c>
    </row>
    <row r="21" spans="1:14" x14ac:dyDescent="0.4">
      <c r="A21" s="5" t="s">
        <v>490</v>
      </c>
      <c r="B21" s="5"/>
      <c r="C21" s="5" t="s">
        <v>491</v>
      </c>
      <c r="D21" s="5" t="s">
        <v>229</v>
      </c>
      <c r="E21" s="5"/>
      <c r="F21" s="5" t="s">
        <v>429</v>
      </c>
      <c r="G21" s="5" t="s">
        <v>300</v>
      </c>
      <c r="H21" s="5">
        <f t="shared" si="4"/>
        <v>0</v>
      </c>
      <c r="I21" s="5" t="s">
        <v>96</v>
      </c>
      <c r="J21" s="5">
        <f t="shared" si="1"/>
        <v>0</v>
      </c>
      <c r="K21" s="20" t="s">
        <v>188</v>
      </c>
      <c r="L21" s="5">
        <f t="shared" si="2"/>
        <v>25</v>
      </c>
      <c r="M21" s="5" t="s">
        <v>67</v>
      </c>
      <c r="N21" s="5">
        <f t="shared" si="3"/>
        <v>28.000000000000004</v>
      </c>
    </row>
    <row r="22" spans="1:14" x14ac:dyDescent="0.4">
      <c r="A22" s="5" t="s">
        <v>492</v>
      </c>
      <c r="B22" s="5"/>
      <c r="C22" s="5" t="s">
        <v>493</v>
      </c>
      <c r="D22" s="5" t="s">
        <v>92</v>
      </c>
      <c r="E22" s="5"/>
      <c r="F22" s="5" t="s">
        <v>429</v>
      </c>
      <c r="G22" s="5" t="s">
        <v>141</v>
      </c>
      <c r="H22" s="5">
        <f t="shared" si="4"/>
        <v>0</v>
      </c>
      <c r="I22" s="5" t="s">
        <v>494</v>
      </c>
      <c r="J22" s="5">
        <f t="shared" si="1"/>
        <v>0</v>
      </c>
      <c r="K22" s="20" t="s">
        <v>264</v>
      </c>
      <c r="L22" s="5">
        <f t="shared" si="2"/>
        <v>20</v>
      </c>
      <c r="M22" s="5" t="s">
        <v>67</v>
      </c>
      <c r="N22" s="5">
        <f t="shared" si="3"/>
        <v>22.400000000000002</v>
      </c>
    </row>
    <row r="23" spans="1:14" x14ac:dyDescent="0.4">
      <c r="A23" s="5" t="s">
        <v>495</v>
      </c>
      <c r="B23" s="5"/>
      <c r="C23" s="5" t="s">
        <v>496</v>
      </c>
      <c r="D23" s="5" t="s">
        <v>92</v>
      </c>
      <c r="E23" s="5"/>
      <c r="F23" s="5" t="s">
        <v>429</v>
      </c>
      <c r="G23" s="5" t="s">
        <v>95</v>
      </c>
      <c r="H23" s="5">
        <f t="shared" si="4"/>
        <v>0</v>
      </c>
      <c r="I23" s="5" t="s">
        <v>494</v>
      </c>
      <c r="J23" s="5">
        <f t="shared" si="1"/>
        <v>0</v>
      </c>
      <c r="K23" s="20" t="s">
        <v>178</v>
      </c>
      <c r="L23" s="5">
        <f t="shared" si="2"/>
        <v>35</v>
      </c>
      <c r="M23" s="5" t="s">
        <v>67</v>
      </c>
      <c r="N23" s="5">
        <f t="shared" si="3"/>
        <v>39.200000000000003</v>
      </c>
    </row>
    <row r="24" spans="1:14" x14ac:dyDescent="0.4">
      <c r="A24" s="8" t="s">
        <v>497</v>
      </c>
      <c r="B24" s="8" t="s">
        <v>498</v>
      </c>
      <c r="C24" s="8" t="s">
        <v>499</v>
      </c>
      <c r="D24" s="8" t="s">
        <v>272</v>
      </c>
      <c r="E24" s="8"/>
      <c r="F24" s="8" t="s">
        <v>429</v>
      </c>
      <c r="G24" s="8" t="s">
        <v>267</v>
      </c>
      <c r="H24" s="8">
        <f t="shared" si="4"/>
        <v>0</v>
      </c>
      <c r="I24" s="8" t="s">
        <v>96</v>
      </c>
      <c r="J24" s="8">
        <f t="shared" si="1"/>
        <v>0</v>
      </c>
      <c r="K24" s="19" t="s">
        <v>425</v>
      </c>
      <c r="L24" s="8">
        <f t="shared" si="2"/>
        <v>8</v>
      </c>
      <c r="M24" s="8" t="s">
        <v>67</v>
      </c>
      <c r="N24" s="8">
        <f t="shared" si="3"/>
        <v>8.9600000000000009</v>
      </c>
    </row>
    <row r="25" spans="1:14" x14ac:dyDescent="0.4">
      <c r="A25" s="5" t="s">
        <v>500</v>
      </c>
      <c r="B25" s="5"/>
      <c r="C25" s="5" t="s">
        <v>501</v>
      </c>
      <c r="D25" s="5" t="s">
        <v>272</v>
      </c>
      <c r="E25" s="5"/>
      <c r="F25" s="5" t="s">
        <v>429</v>
      </c>
      <c r="G25" s="5" t="s">
        <v>251</v>
      </c>
      <c r="H25" s="5">
        <f t="shared" si="4"/>
        <v>0</v>
      </c>
      <c r="I25" s="5" t="s">
        <v>96</v>
      </c>
      <c r="J25" s="5">
        <f t="shared" si="1"/>
        <v>0</v>
      </c>
      <c r="K25" s="20" t="s">
        <v>502</v>
      </c>
      <c r="L25" s="5">
        <f t="shared" si="2"/>
        <v>10</v>
      </c>
      <c r="M25" s="5" t="s">
        <v>67</v>
      </c>
      <c r="N25" s="5">
        <f t="shared" si="3"/>
        <v>11.200000000000001</v>
      </c>
    </row>
    <row r="26" spans="1:14" x14ac:dyDescent="0.4">
      <c r="A26" s="5" t="s">
        <v>503</v>
      </c>
      <c r="B26" s="5"/>
      <c r="C26" s="5" t="s">
        <v>504</v>
      </c>
      <c r="D26" s="5" t="s">
        <v>229</v>
      </c>
      <c r="E26" s="5"/>
      <c r="F26" s="5" t="s">
        <v>429</v>
      </c>
      <c r="G26" s="5" t="s">
        <v>175</v>
      </c>
      <c r="H26" s="5">
        <f t="shared" si="4"/>
        <v>0</v>
      </c>
      <c r="I26" s="5" t="s">
        <v>494</v>
      </c>
      <c r="J26" s="5">
        <f t="shared" si="1"/>
        <v>0</v>
      </c>
      <c r="K26" s="20" t="s">
        <v>489</v>
      </c>
      <c r="L26" s="5">
        <f t="shared" si="2"/>
        <v>15</v>
      </c>
      <c r="M26" s="5" t="s">
        <v>67</v>
      </c>
      <c r="N26" s="5">
        <f t="shared" si="3"/>
        <v>16.8</v>
      </c>
    </row>
    <row r="27" spans="1:14" x14ac:dyDescent="0.4">
      <c r="A27" s="8" t="s">
        <v>505</v>
      </c>
      <c r="B27" s="8" t="s">
        <v>506</v>
      </c>
      <c r="C27" s="8" t="s">
        <v>507</v>
      </c>
      <c r="D27" s="8" t="s">
        <v>428</v>
      </c>
      <c r="E27" s="8"/>
      <c r="F27" s="8" t="s">
        <v>424</v>
      </c>
      <c r="G27" s="8" t="s">
        <v>300</v>
      </c>
      <c r="H27" s="8">
        <f t="shared" si="4"/>
        <v>0</v>
      </c>
      <c r="I27" s="8" t="s">
        <v>96</v>
      </c>
      <c r="J27" s="8">
        <f t="shared" si="1"/>
        <v>0</v>
      </c>
      <c r="K27" s="19" t="s">
        <v>345</v>
      </c>
      <c r="L27" s="8">
        <f t="shared" si="2"/>
        <v>0</v>
      </c>
      <c r="M27" s="8" t="s">
        <v>67</v>
      </c>
      <c r="N27" s="8">
        <f t="shared" si="3"/>
        <v>0</v>
      </c>
    </row>
    <row r="28" spans="1:14" x14ac:dyDescent="0.4">
      <c r="A28" s="5" t="s">
        <v>508</v>
      </c>
      <c r="B28" s="5"/>
      <c r="C28" s="5" t="s">
        <v>509</v>
      </c>
      <c r="D28" s="5" t="s">
        <v>229</v>
      </c>
      <c r="E28" s="5"/>
      <c r="F28" s="5" t="s">
        <v>429</v>
      </c>
      <c r="G28" s="5" t="s">
        <v>429</v>
      </c>
      <c r="H28" s="5">
        <f t="shared" si="4"/>
        <v>0</v>
      </c>
      <c r="I28" s="5" t="s">
        <v>96</v>
      </c>
      <c r="J28" s="5">
        <f t="shared" si="1"/>
        <v>0</v>
      </c>
      <c r="K28" s="20" t="s">
        <v>462</v>
      </c>
      <c r="L28" s="5">
        <f t="shared" si="2"/>
        <v>125</v>
      </c>
      <c r="M28" s="5" t="s">
        <v>67</v>
      </c>
      <c r="N28" s="5">
        <f t="shared" si="3"/>
        <v>140</v>
      </c>
    </row>
    <row r="29" spans="1:14" x14ac:dyDescent="0.4">
      <c r="A29" s="5" t="s">
        <v>510</v>
      </c>
      <c r="B29" s="5"/>
      <c r="C29" s="5" t="s">
        <v>511</v>
      </c>
      <c r="D29" s="5" t="s">
        <v>428</v>
      </c>
      <c r="E29" s="5"/>
      <c r="F29" s="5" t="s">
        <v>429</v>
      </c>
      <c r="G29" s="5" t="s">
        <v>429</v>
      </c>
      <c r="H29" s="5">
        <f t="shared" si="4"/>
        <v>0</v>
      </c>
      <c r="I29" s="5" t="s">
        <v>96</v>
      </c>
      <c r="J29" s="5">
        <f t="shared" si="1"/>
        <v>0</v>
      </c>
      <c r="K29" s="20" t="s">
        <v>512</v>
      </c>
      <c r="L29" s="5">
        <f t="shared" si="2"/>
        <v>185</v>
      </c>
      <c r="M29" s="5" t="s">
        <v>67</v>
      </c>
      <c r="N29" s="5">
        <f t="shared" si="3"/>
        <v>207.20000000000002</v>
      </c>
    </row>
    <row r="30" spans="1:14" x14ac:dyDescent="0.4">
      <c r="A30" s="5" t="s">
        <v>513</v>
      </c>
      <c r="B30" s="5"/>
      <c r="C30" s="5" t="s">
        <v>514</v>
      </c>
      <c r="D30" s="5" t="s">
        <v>423</v>
      </c>
      <c r="E30" s="5" t="s">
        <v>250</v>
      </c>
      <c r="F30" s="5" t="s">
        <v>424</v>
      </c>
      <c r="G30" s="5" t="s">
        <v>425</v>
      </c>
      <c r="H30" s="5">
        <f t="shared" si="4"/>
        <v>8</v>
      </c>
      <c r="I30" s="5" t="s">
        <v>96</v>
      </c>
      <c r="J30" s="5">
        <f t="shared" si="1"/>
        <v>360</v>
      </c>
      <c r="K30" s="20" t="s">
        <v>435</v>
      </c>
      <c r="L30" s="5">
        <f t="shared" si="2"/>
        <v>1010</v>
      </c>
      <c r="M30" s="5" t="s">
        <v>67</v>
      </c>
      <c r="N30" s="5">
        <f t="shared" si="3"/>
        <v>1131.2</v>
      </c>
    </row>
    <row r="31" spans="1:14" x14ac:dyDescent="0.4">
      <c r="A31" s="5" t="s">
        <v>515</v>
      </c>
      <c r="B31" s="5"/>
      <c r="C31" s="5" t="s">
        <v>516</v>
      </c>
      <c r="D31" s="5" t="s">
        <v>423</v>
      </c>
      <c r="E31" s="5" t="s">
        <v>250</v>
      </c>
      <c r="F31" s="5" t="s">
        <v>424</v>
      </c>
      <c r="G31" s="5" t="s">
        <v>430</v>
      </c>
      <c r="H31" s="5">
        <f t="shared" si="4"/>
        <v>6</v>
      </c>
      <c r="I31" s="5" t="s">
        <v>96</v>
      </c>
      <c r="J31" s="5">
        <f t="shared" si="1"/>
        <v>270</v>
      </c>
      <c r="K31" s="20" t="s">
        <v>517</v>
      </c>
      <c r="L31" s="5">
        <f t="shared" si="2"/>
        <v>1220</v>
      </c>
      <c r="M31" s="5" t="s">
        <v>67</v>
      </c>
      <c r="N31" s="5">
        <f t="shared" si="3"/>
        <v>1366.4</v>
      </c>
    </row>
    <row r="32" spans="1:14" x14ac:dyDescent="0.4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</row>
    <row r="33" spans="1:14" x14ac:dyDescent="0.4">
      <c r="A33" s="6" t="s">
        <v>518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>
        <f>SUM(N2:N31)</f>
        <v>17671.36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9"/>
  <sheetViews>
    <sheetView workbookViewId="0">
      <selection activeCell="B11" sqref="B11"/>
    </sheetView>
  </sheetViews>
  <sheetFormatPr defaultRowHeight="14.6" x14ac:dyDescent="0.4"/>
  <cols>
    <col min="1" max="1" width="32" customWidth="1"/>
    <col min="2" max="2" width="18" customWidth="1"/>
    <col min="3" max="3" width="12" customWidth="1"/>
    <col min="4" max="4" width="18" customWidth="1"/>
  </cols>
  <sheetData>
    <row r="1" spans="1:4" ht="15.9" x14ac:dyDescent="0.45">
      <c r="A1" s="9" t="s">
        <v>519</v>
      </c>
      <c r="B1" s="9"/>
      <c r="C1" s="9"/>
      <c r="D1" s="9"/>
    </row>
    <row r="2" spans="1:4" x14ac:dyDescent="0.4">
      <c r="A2" s="5"/>
      <c r="B2" s="5"/>
      <c r="C2" s="5"/>
      <c r="D2" s="5"/>
    </row>
    <row r="3" spans="1:4" x14ac:dyDescent="0.4">
      <c r="A3" s="10" t="s">
        <v>520</v>
      </c>
      <c r="B3" s="10" t="s">
        <v>521</v>
      </c>
      <c r="C3" s="10" t="s">
        <v>522</v>
      </c>
      <c r="D3" s="10" t="s">
        <v>523</v>
      </c>
    </row>
    <row r="4" spans="1:4" x14ac:dyDescent="0.4">
      <c r="A4" s="11" t="s">
        <v>524</v>
      </c>
      <c r="B4" s="11"/>
      <c r="C4" s="11"/>
      <c r="D4" s="11"/>
    </row>
    <row r="5" spans="1:4" x14ac:dyDescent="0.4">
      <c r="A5" s="5" t="s">
        <v>525</v>
      </c>
      <c r="B5" s="12">
        <f>'2-Fabrication'!O77</f>
        <v>0</v>
      </c>
      <c r="C5" s="5" t="s">
        <v>62</v>
      </c>
      <c r="D5" s="12">
        <f>B5*(1+C5)</f>
        <v>0</v>
      </c>
    </row>
    <row r="6" spans="1:4" x14ac:dyDescent="0.4">
      <c r="A6" s="5" t="s">
        <v>526</v>
      </c>
      <c r="B6" s="5" t="s">
        <v>527</v>
      </c>
      <c r="C6" s="5"/>
      <c r="D6" s="5"/>
    </row>
    <row r="7" spans="1:4" x14ac:dyDescent="0.4">
      <c r="A7" s="5" t="s">
        <v>528</v>
      </c>
      <c r="B7" s="5" t="s">
        <v>527</v>
      </c>
      <c r="C7" s="5"/>
      <c r="D7" s="5"/>
    </row>
    <row r="8" spans="1:4" x14ac:dyDescent="0.4">
      <c r="A8" s="5" t="s">
        <v>529</v>
      </c>
      <c r="B8" s="12">
        <f>B5</f>
        <v>0</v>
      </c>
      <c r="C8" s="5"/>
      <c r="D8" s="12">
        <f>D5</f>
        <v>0</v>
      </c>
    </row>
    <row r="9" spans="1:4" x14ac:dyDescent="0.4">
      <c r="A9" s="5"/>
      <c r="B9" s="5"/>
      <c r="C9" s="5"/>
      <c r="D9" s="5"/>
    </row>
    <row r="10" spans="1:4" x14ac:dyDescent="0.4">
      <c r="A10" s="11" t="s">
        <v>530</v>
      </c>
      <c r="B10" s="11"/>
      <c r="C10" s="11"/>
      <c r="D10" s="11"/>
    </row>
    <row r="11" spans="1:4" x14ac:dyDescent="0.4">
      <c r="A11" s="5" t="s">
        <v>531</v>
      </c>
      <c r="B11" s="12">
        <f>'3-Erection'!N32</f>
        <v>0</v>
      </c>
      <c r="C11" s="5" t="s">
        <v>67</v>
      </c>
      <c r="D11" s="12">
        <f>B11*(1+C11)</f>
        <v>0</v>
      </c>
    </row>
    <row r="12" spans="1:4" x14ac:dyDescent="0.4">
      <c r="A12" s="5" t="s">
        <v>532</v>
      </c>
      <c r="B12" s="12">
        <f>SUM('3-Erection'!K2:K31)</f>
        <v>0</v>
      </c>
      <c r="C12" s="5" t="s">
        <v>67</v>
      </c>
      <c r="D12" s="12">
        <f>B12*(1+C12)</f>
        <v>0</v>
      </c>
    </row>
    <row r="13" spans="1:4" x14ac:dyDescent="0.4">
      <c r="A13" s="5" t="s">
        <v>533</v>
      </c>
      <c r="B13" s="12">
        <f>B11+B12</f>
        <v>0</v>
      </c>
      <c r="C13" s="5"/>
      <c r="D13" s="12">
        <f>D11+D12</f>
        <v>0</v>
      </c>
    </row>
    <row r="14" spans="1:4" x14ac:dyDescent="0.4">
      <c r="A14" s="5"/>
      <c r="B14" s="5"/>
      <c r="C14" s="5"/>
      <c r="D14" s="5"/>
    </row>
    <row r="15" spans="1:4" x14ac:dyDescent="0.4">
      <c r="A15" s="5" t="s">
        <v>534</v>
      </c>
      <c r="B15" s="12">
        <f>B8+B13</f>
        <v>0</v>
      </c>
      <c r="C15" s="5"/>
      <c r="D15" s="12">
        <f>D8+D13</f>
        <v>0</v>
      </c>
    </row>
    <row r="16" spans="1:4" x14ac:dyDescent="0.4">
      <c r="A16" s="5"/>
      <c r="B16" s="5"/>
      <c r="C16" s="5"/>
      <c r="D16" s="5"/>
    </row>
    <row r="17" spans="1:4" x14ac:dyDescent="0.4">
      <c r="A17" s="11" t="s">
        <v>535</v>
      </c>
      <c r="B17" s="11"/>
      <c r="C17" s="11"/>
      <c r="D17" s="11"/>
    </row>
    <row r="18" spans="1:4" x14ac:dyDescent="0.4">
      <c r="A18" s="5" t="s">
        <v>536</v>
      </c>
      <c r="B18" s="12">
        <f>B15*0.15</f>
        <v>0</v>
      </c>
      <c r="C18" s="5"/>
      <c r="D18" s="12"/>
    </row>
    <row r="19" spans="1:4" x14ac:dyDescent="0.4">
      <c r="A19" s="5" t="s">
        <v>537</v>
      </c>
      <c r="B19" s="12">
        <f>B15*0.12</f>
        <v>0</v>
      </c>
      <c r="C19" s="5"/>
      <c r="D19" s="12"/>
    </row>
    <row r="20" spans="1:4" x14ac:dyDescent="0.4">
      <c r="A20" s="5" t="s">
        <v>538</v>
      </c>
      <c r="B20" s="12">
        <f>B15*0.05</f>
        <v>0</v>
      </c>
      <c r="C20" s="5"/>
      <c r="D20" s="12"/>
    </row>
    <row r="21" spans="1:4" x14ac:dyDescent="0.4">
      <c r="A21" s="5" t="s">
        <v>539</v>
      </c>
      <c r="B21" s="12">
        <f>B15*0.01</f>
        <v>0</v>
      </c>
      <c r="C21" s="5"/>
      <c r="D21" s="12"/>
    </row>
    <row r="22" spans="1:4" x14ac:dyDescent="0.4">
      <c r="A22" s="5" t="s">
        <v>540</v>
      </c>
      <c r="B22" s="12">
        <f>SUM(B18:B21)</f>
        <v>0</v>
      </c>
      <c r="C22" s="5"/>
      <c r="D22" s="12"/>
    </row>
    <row r="23" spans="1:4" x14ac:dyDescent="0.4">
      <c r="A23" s="5"/>
      <c r="B23" s="5"/>
      <c r="C23" s="5"/>
      <c r="D23" s="5"/>
    </row>
    <row r="24" spans="1:4" ht="18.45" x14ac:dyDescent="0.5">
      <c r="A24" s="13" t="s">
        <v>541</v>
      </c>
      <c r="B24" s="14">
        <f>B15+B22</f>
        <v>0</v>
      </c>
      <c r="C24" s="13"/>
      <c r="D24" s="14"/>
    </row>
    <row r="25" spans="1:4" x14ac:dyDescent="0.4">
      <c r="A25" s="5"/>
      <c r="B25" s="5"/>
      <c r="C25" s="5"/>
      <c r="D25" s="5"/>
    </row>
    <row r="26" spans="1:4" x14ac:dyDescent="0.4">
      <c r="A26" s="11" t="s">
        <v>542</v>
      </c>
      <c r="B26" s="11"/>
      <c r="C26" s="11"/>
      <c r="D26" s="11"/>
    </row>
    <row r="27" spans="1:4" x14ac:dyDescent="0.4">
      <c r="A27" s="5" t="s">
        <v>543</v>
      </c>
      <c r="B27" s="5">
        <f>'1-Project Setup'!D12</f>
        <v>0</v>
      </c>
      <c r="C27" s="5"/>
      <c r="D27" s="5"/>
    </row>
    <row r="28" spans="1:4" x14ac:dyDescent="0.4">
      <c r="A28" s="5" t="s">
        <v>544</v>
      </c>
      <c r="B28" s="12">
        <f>IF(B27&gt;0,B24/B27,0)</f>
        <v>0</v>
      </c>
      <c r="C28" s="5"/>
      <c r="D28" s="12"/>
    </row>
    <row r="29" spans="1:4" x14ac:dyDescent="0.4">
      <c r="A29" s="5" t="s">
        <v>17</v>
      </c>
      <c r="B29" s="5">
        <f>'1-Project Setup'!D13</f>
        <v>0</v>
      </c>
      <c r="C29" s="5"/>
      <c r="D29" s="5"/>
    </row>
    <row r="30" spans="1:4" x14ac:dyDescent="0.4">
      <c r="A30" s="5" t="s">
        <v>545</v>
      </c>
      <c r="B30" s="5">
        <f>IF(B29&gt;0,B24/B29,0)</f>
        <v>0</v>
      </c>
      <c r="C30" s="5"/>
      <c r="D30" s="5"/>
    </row>
    <row r="31" spans="1:4" x14ac:dyDescent="0.4">
      <c r="A31" s="5"/>
      <c r="B31" s="5"/>
      <c r="C31" s="5"/>
      <c r="D31" s="5"/>
    </row>
    <row r="32" spans="1:4" x14ac:dyDescent="0.4">
      <c r="A32" s="5" t="s">
        <v>546</v>
      </c>
      <c r="B32" s="5"/>
      <c r="C32" s="5"/>
      <c r="D32" s="5"/>
    </row>
    <row r="33" spans="1:4" x14ac:dyDescent="0.4">
      <c r="A33" s="11" t="s">
        <v>547</v>
      </c>
      <c r="B33" s="11" t="s">
        <v>548</v>
      </c>
      <c r="C33" s="11"/>
      <c r="D33" s="11"/>
    </row>
    <row r="34" spans="1:4" x14ac:dyDescent="0.4">
      <c r="A34" s="5" t="s">
        <v>549</v>
      </c>
      <c r="B34" s="5" t="s">
        <v>550</v>
      </c>
      <c r="C34" s="5"/>
      <c r="D34" s="5"/>
    </row>
    <row r="35" spans="1:4" x14ac:dyDescent="0.4">
      <c r="A35" s="5" t="s">
        <v>551</v>
      </c>
      <c r="B35" s="5" t="s">
        <v>552</v>
      </c>
      <c r="C35" s="5"/>
      <c r="D35" s="5"/>
    </row>
    <row r="36" spans="1:4" x14ac:dyDescent="0.4">
      <c r="A36" s="5"/>
      <c r="B36" s="5"/>
      <c r="C36" s="5"/>
      <c r="D36" s="5"/>
    </row>
    <row r="37" spans="1:4" x14ac:dyDescent="0.4">
      <c r="A37" s="5" t="s">
        <v>553</v>
      </c>
      <c r="B37" s="5"/>
      <c r="C37" s="5"/>
      <c r="D37" s="5"/>
    </row>
    <row r="38" spans="1:4" x14ac:dyDescent="0.4">
      <c r="A38" s="11" t="s">
        <v>7</v>
      </c>
      <c r="B38" s="11"/>
      <c r="C38" s="11" t="s">
        <v>5</v>
      </c>
      <c r="D38" s="11"/>
    </row>
    <row r="39" spans="1:4" x14ac:dyDescent="0.4">
      <c r="A39" s="5" t="s">
        <v>554</v>
      </c>
      <c r="B39" s="5"/>
      <c r="C39" s="5" t="s">
        <v>5</v>
      </c>
      <c r="D39" s="5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1-Project Setup</vt:lpstr>
      <vt:lpstr>2-Fabrication</vt:lpstr>
      <vt:lpstr>3-Erection</vt:lpstr>
      <vt:lpstr>4-Summary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Leo Flynn</cp:lastModifiedBy>
  <dcterms:created xsi:type="dcterms:W3CDTF">2026-03-06T18:35:43Z</dcterms:created>
  <dcterms:modified xsi:type="dcterms:W3CDTF">2026-03-09T20:06:39Z</dcterms:modified>
</cp:coreProperties>
</file>