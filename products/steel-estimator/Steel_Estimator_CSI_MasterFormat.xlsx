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-Project Setup" sheetId="2" state="visible" r:id="rId2"/>
    <sheet xmlns:r="http://schemas.openxmlformats.org/officeDocument/2006/relationships" name="3-Erection" sheetId="3" state="visible" r:id="rId3"/>
    <sheet xmlns:r="http://schemas.openxmlformats.org/officeDocument/2006/relationships" name="4-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366092"/>
      <sz val="12"/>
    </font>
    <font>
      <b val="1"/>
      <sz val="10"/>
    </font>
    <font>
      <b val="1"/>
      <color rgb="00FFFFFF"/>
      <sz val="11"/>
    </font>
    <font>
      <b val="1"/>
    </font>
    <font>
      <i val="1"/>
      <color rgb="00366092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/>
    </xf>
    <xf numFmtId="164" fontId="0" fillId="0" borderId="1" pivotButton="0" quotePrefix="0" xfId="0"/>
    <xf numFmtId="164" fontId="5" fillId="0" borderId="0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Steel Estimator – Instructions</t>
        </is>
      </c>
    </row>
    <row r="2"/>
    <row r="3">
      <c r="A3" t="inlineStr">
        <is>
          <t>1. Complete the data entry on Sheet 1 (Project Setup).</t>
        </is>
      </c>
    </row>
    <row r="4">
      <c r="A4" t="inlineStr">
        <is>
          <t>2. Fabrication (Sheet 2) and Erection (Sheet 3) are pre-coded with CSI Division 05 items.</t>
        </is>
      </c>
    </row>
    <row r="5">
      <c r="A5" t="inlineStr">
        <is>
          <t>3. Update QTY / Crew / Hrs-Unit columns only; CSI Code/Line IDs stay locked.</t>
        </is>
      </c>
    </row>
    <row r="6">
      <c r="A6" t="inlineStr">
        <is>
          <t>4. Summary (Sheet 4) auto-calculates totals by CSI code.</t>
        </is>
      </c>
    </row>
    <row r="7">
      <c r="A7" t="inlineStr">
        <is>
          <t>5. Use the drop-down at the top of each sheet to toggle GC vs. Sub view.</t>
        </is>
      </c>
    </row>
    <row r="8">
      <c r="A8" t="inlineStr">
        <is>
          <t>6. Duplicate this workbook per project and archive a clean master copy.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40" customWidth="1" min="5" max="5"/>
    <col width="15" customWidth="1" min="6" max="6"/>
  </cols>
  <sheetData>
    <row r="1">
      <c r="A1" s="1" t="inlineStr">
        <is>
          <t>ENTERPRISE STEEL ESTIMATING SYSTEM - CSI MASTERFORMAT EDITION</t>
        </is>
      </c>
    </row>
    <row r="3">
      <c r="A3" s="2" t="inlineStr">
        <is>
          <t>CSI MASTERFORMAT CLASSIFICATION</t>
        </is>
      </c>
    </row>
    <row r="4">
      <c r="A4" t="inlineStr">
        <is>
          <t>Division:</t>
        </is>
      </c>
      <c r="B4" t="inlineStr">
        <is>
          <t>05 - Metals</t>
        </is>
      </c>
      <c r="D4" t="inlineStr">
        <is>
          <t>CSI Code:</t>
        </is>
      </c>
      <c r="E4" t="inlineStr">
        <is>
          <t>05 10 00 - Structural Metal Framing</t>
        </is>
      </c>
    </row>
    <row r="5">
      <c r="A5" t="inlineStr">
        <is>
          <t>Division Name:</t>
        </is>
      </c>
      <c r="B5" t="inlineStr">
        <is>
          <t>Metals</t>
        </is>
      </c>
      <c r="D5" t="inlineStr">
        <is>
          <t>View Mode:</t>
        </is>
      </c>
      <c r="E5" t="inlineStr">
        <is>
          <t>GC View (All Divisions) / Subcontractor View (Division 05)</t>
        </is>
      </c>
    </row>
    <row r="7">
      <c r="A7" s="3" t="inlineStr">
        <is>
          <t>PROJECT INFORMATION</t>
        </is>
      </c>
    </row>
    <row r="8">
      <c r="A8" t="inlineStr">
        <is>
          <t>Project Name:</t>
        </is>
      </c>
      <c r="D8" t="inlineStr">
        <is>
          <t>Project #:</t>
        </is>
      </c>
    </row>
    <row r="9">
      <c r="A9" t="inlineStr">
        <is>
          <t>Client/Owner:</t>
        </is>
      </c>
      <c r="D9" t="inlineStr">
        <is>
          <t>Date:</t>
        </is>
      </c>
    </row>
    <row r="10">
      <c r="A10" t="inlineStr">
        <is>
          <t>Location:</t>
        </is>
      </c>
      <c r="D10" t="inlineStr">
        <is>
          <t>Estimator:</t>
        </is>
      </c>
    </row>
    <row r="11">
      <c r="A11" t="inlineStr">
        <is>
          <t>Architect:</t>
        </is>
      </c>
      <c r="D11" t="inlineStr">
        <is>
          <t>Phone:</t>
        </is>
      </c>
    </row>
    <row r="12">
      <c r="A12" t="inlineStr">
        <is>
          <t>Engineer:</t>
        </is>
      </c>
      <c r="D12" t="inlineStr">
        <is>
          <t>Email:</t>
        </is>
      </c>
    </row>
    <row r="13">
      <c r="A13" t="inlineStr">
        <is>
          <t>General Contractor:</t>
        </is>
      </c>
      <c r="D13" t="inlineStr">
        <is>
          <t>View Mode:</t>
        </is>
      </c>
    </row>
    <row r="15">
      <c r="A15" s="3" t="inlineStr">
        <is>
          <t>CSI DIVISION 05 - METALS SUMMARY (FOR GC VIEW)</t>
        </is>
      </c>
    </row>
    <row r="16">
      <c r="A16" s="4" t="inlineStr">
        <is>
          <t>CSI Code</t>
        </is>
      </c>
      <c r="B16" s="4" t="inlineStr">
        <is>
          <t>Description</t>
        </is>
      </c>
      <c r="C16" s="4" t="inlineStr">
        <is>
          <t>Budget</t>
        </is>
      </c>
      <c r="D16" s="4" t="inlineStr">
        <is>
          <t>Actual</t>
        </is>
      </c>
      <c r="E16" s="4" t="inlineStr">
        <is>
          <t>Variance</t>
        </is>
      </c>
      <c r="F16" s="4" t="inlineStr">
        <is>
          <t>% Complete</t>
        </is>
      </c>
    </row>
    <row r="17">
      <c r="A17" s="5" t="inlineStr">
        <is>
          <t>05 10 00</t>
        </is>
      </c>
      <c r="B17" s="5" t="inlineStr">
        <is>
          <t>Structural Metal Framing</t>
        </is>
      </c>
      <c r="C17" s="5" t="inlineStr"/>
      <c r="D17" s="5" t="inlineStr"/>
      <c r="E17" s="5" t="inlineStr"/>
      <c r="F17" s="5" t="inlineStr"/>
    </row>
    <row r="18">
      <c r="A18" s="5" t="inlineStr">
        <is>
          <t>05 20 00</t>
        </is>
      </c>
      <c r="B18" s="5" t="inlineStr">
        <is>
          <t>Metal Joists</t>
        </is>
      </c>
      <c r="C18" s="5" t="inlineStr"/>
      <c r="D18" s="5" t="inlineStr"/>
      <c r="E18" s="5" t="inlineStr"/>
      <c r="F18" s="5" t="inlineStr"/>
    </row>
    <row r="19">
      <c r="A19" s="5" t="inlineStr">
        <is>
          <t>05 30 00</t>
        </is>
      </c>
      <c r="B19" s="5" t="inlineStr">
        <is>
          <t>Metal Decking</t>
        </is>
      </c>
      <c r="C19" s="5" t="inlineStr"/>
      <c r="D19" s="5" t="inlineStr"/>
      <c r="E19" s="5" t="inlineStr"/>
      <c r="F19" s="5" t="inlineStr"/>
    </row>
    <row r="20">
      <c r="A20" s="5" t="inlineStr">
        <is>
          <t>05 40 00</t>
        </is>
      </c>
      <c r="B20" s="5" t="inlineStr">
        <is>
          <t>Cold-Formed Metal Framing</t>
        </is>
      </c>
      <c r="C20" s="5" t="inlineStr"/>
      <c r="D20" s="5" t="inlineStr"/>
      <c r="E20" s="5" t="inlineStr"/>
      <c r="F20" s="5" t="inlineStr"/>
    </row>
    <row r="21">
      <c r="A21" s="5" t="inlineStr">
        <is>
          <t>05 50 00</t>
        </is>
      </c>
      <c r="B21" s="5" t="inlineStr">
        <is>
          <t>Metal Fabrications</t>
        </is>
      </c>
      <c r="C21" s="5" t="inlineStr"/>
      <c r="D21" s="5" t="inlineStr"/>
      <c r="E21" s="5" t="inlineStr"/>
      <c r="F21" s="5" t="inlineStr"/>
    </row>
    <row r="22">
      <c r="A22" s="5" t="inlineStr">
        <is>
          <t>05 60 00</t>
        </is>
      </c>
      <c r="B22" s="5" t="inlineStr">
        <is>
          <t>Hydraulic Fabrications</t>
        </is>
      </c>
      <c r="C22" s="5" t="inlineStr"/>
      <c r="D22" s="5" t="inlineStr"/>
      <c r="E22" s="5" t="inlineStr"/>
      <c r="F22" s="5" t="inlineStr"/>
    </row>
    <row r="23">
      <c r="A23" s="5" t="inlineStr">
        <is>
          <t>05 70 00</t>
        </is>
      </c>
      <c r="B23" s="5" t="inlineStr">
        <is>
          <t>Ornamental Metal</t>
        </is>
      </c>
      <c r="C23" s="5" t="inlineStr"/>
      <c r="D23" s="5" t="inlineStr"/>
      <c r="E23" s="5" t="inlineStr"/>
      <c r="F23" s="5" t="inlineStr"/>
    </row>
    <row r="24">
      <c r="A24" s="5" t="inlineStr">
        <is>
          <t>05 80 00</t>
        </is>
      </c>
      <c r="B24" s="5" t="inlineStr">
        <is>
          <t>Expansion Control</t>
        </is>
      </c>
      <c r="C24" s="5" t="inlineStr"/>
      <c r="D24" s="5" t="inlineStr"/>
      <c r="E24" s="5" t="inlineStr"/>
      <c r="F24" s="5" t="inlineStr"/>
    </row>
    <row r="25">
      <c r="A25" s="5" t="inlineStr">
        <is>
          <t>05 90 00</t>
        </is>
      </c>
      <c r="B25" s="5" t="inlineStr">
        <is>
          <t>Metal Restoration and Cleaning</t>
        </is>
      </c>
      <c r="C25" s="5" t="inlineStr"/>
      <c r="D25" s="5" t="inlineStr"/>
      <c r="E25" s="5" t="inlineStr"/>
      <c r="F25" s="5" t="inlineStr"/>
    </row>
    <row r="28">
      <c r="A28" s="6" t="inlineStr">
        <is>
          <t>INSTRUCTIONS:</t>
        </is>
      </c>
    </row>
    <row r="29">
      <c r="A29" t="inlineStr">
        <is>
          <t>1. This estimator follows CSI MasterFormat Division 05 - Metals</t>
        </is>
      </c>
    </row>
    <row r="30">
      <c r="A30" t="inlineStr">
        <is>
          <t>2. Use 'View Mode' to toggle between GC View (all divisions) and Subcontractor View (Division 05 only)</t>
        </is>
      </c>
    </row>
    <row r="31">
      <c r="A31" t="inlineStr">
        <is>
          <t>3. All line items include CSI Code classification for cost tracking</t>
        </is>
      </c>
    </row>
    <row r="32">
      <c r="A32" t="inlineStr">
        <is>
          <t>4. GC can view summary of all Division 05 work; Subcontractors see only their scope</t>
        </is>
      </c>
    </row>
  </sheetData>
  <mergeCells count="3">
    <mergeCell ref="A1:H1"/>
    <mergeCell ref="A15:F15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25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</cols>
  <sheetData>
    <row r="1">
      <c r="A1" s="1" t="inlineStr">
        <is>
          <t>ERECTION ESTIMATE - CSI DIVISION 05: METALS</t>
        </is>
      </c>
    </row>
    <row r="2">
      <c r="A2" s="7" t="inlineStr">
        <is>
          <t>CSI Division: 05 | CSI Code: 05 10 00 | Description: Structural Metal Framing</t>
        </is>
      </c>
    </row>
    <row r="4">
      <c r="A4" s="8" t="inlineStr">
        <is>
          <t>Line</t>
        </is>
      </c>
      <c r="B4" s="8" t="inlineStr">
        <is>
          <t>CSI Code</t>
        </is>
      </c>
      <c r="C4" s="8" t="inlineStr">
        <is>
          <t>Category</t>
        </is>
      </c>
      <c r="D4" s="8" t="inlineStr">
        <is>
          <t>Description</t>
        </is>
      </c>
      <c r="E4" s="8" t="inlineStr">
        <is>
          <t>Unit</t>
        </is>
      </c>
      <c r="F4" s="8" t="inlineStr">
        <is>
          <t>Qty</t>
        </is>
      </c>
      <c r="G4" s="8" t="inlineStr">
        <is>
          <t>Crew</t>
        </is>
      </c>
      <c r="H4" s="8" t="inlineStr">
        <is>
          <t>Hrs/Unit</t>
        </is>
      </c>
      <c r="I4" s="8" t="inlineStr">
        <is>
          <t>Total Hrs</t>
        </is>
      </c>
      <c r="J4" s="8" t="inlineStr">
        <is>
          <t>Rate</t>
        </is>
      </c>
      <c r="K4" s="8" t="inlineStr">
        <is>
          <t>Labor Cost</t>
        </is>
      </c>
      <c r="L4" s="8" t="inlineStr">
        <is>
          <t>Equipment</t>
        </is>
      </c>
      <c r="M4" s="8" t="inlineStr">
        <is>
          <t>Subtotal</t>
        </is>
      </c>
      <c r="N4" s="8" t="inlineStr">
        <is>
          <t>Markup</t>
        </is>
      </c>
      <c r="O4" s="8" t="inlineStr">
        <is>
          <t>Total</t>
        </is>
      </c>
    </row>
    <row r="5">
      <c r="A5" s="5" t="inlineStr">
        <is>
          <t>E-001</t>
        </is>
      </c>
      <c r="B5" s="5" t="inlineStr">
        <is>
          <t>05 10 00</t>
        </is>
      </c>
      <c r="C5" s="5" t="inlineStr">
        <is>
          <t>MOBILIZATION</t>
        </is>
      </c>
      <c r="D5" s="5" t="inlineStr">
        <is>
          <t>Site Mobilization</t>
        </is>
      </c>
      <c r="E5" s="5" t="inlineStr">
        <is>
          <t>LS</t>
        </is>
      </c>
      <c r="F5" s="5" t="n">
        <v>1</v>
      </c>
      <c r="G5" s="5" t="n">
        <v>4</v>
      </c>
      <c r="H5" s="5" t="n">
        <v>8</v>
      </c>
      <c r="I5" s="5">
        <f>F5*H5</f>
        <v/>
      </c>
      <c r="J5" s="5" t="n">
        <v>45</v>
      </c>
      <c r="K5" s="9">
        <f>I5*J5</f>
        <v/>
      </c>
      <c r="L5" s="5" t="n">
        <v>1850</v>
      </c>
      <c r="M5" s="9">
        <f>K5+L5</f>
        <v/>
      </c>
      <c r="N5" s="5" t="inlineStr">
        <is>
          <t>12%</t>
        </is>
      </c>
      <c r="O5" s="9">
        <f>M5*(1+N5)</f>
        <v/>
      </c>
    </row>
    <row r="6">
      <c r="A6" s="5" t="inlineStr">
        <is>
          <t>E-002</t>
        </is>
      </c>
      <c r="B6" s="5" t="inlineStr">
        <is>
          <t>05 10 00</t>
        </is>
      </c>
      <c r="C6" s="5" t="inlineStr"/>
      <c r="D6" s="5" t="inlineStr">
        <is>
          <t>Site Survey/Layout</t>
        </is>
      </c>
      <c r="E6" s="5" t="inlineStr">
        <is>
          <t>DAY</t>
        </is>
      </c>
      <c r="F6" s="5" t="n"/>
      <c r="G6" s="5" t="n">
        <v>2</v>
      </c>
      <c r="H6" s="5" t="n">
        <v>6</v>
      </c>
      <c r="I6" s="5">
        <f>F6*H6</f>
        <v/>
      </c>
      <c r="J6" s="5" t="n">
        <v>45</v>
      </c>
      <c r="K6" s="9">
        <f>I6*J6</f>
        <v/>
      </c>
      <c r="L6" s="5" t="n">
        <v>450</v>
      </c>
      <c r="M6" s="9">
        <f>K6+L6</f>
        <v/>
      </c>
      <c r="N6" s="5" t="inlineStr">
        <is>
          <t>12%</t>
        </is>
      </c>
      <c r="O6" s="9">
        <f>M6*(1+N6)</f>
        <v/>
      </c>
    </row>
    <row r="7">
      <c r="A7" s="5" t="inlineStr">
        <is>
          <t>E-003</t>
        </is>
      </c>
      <c r="B7" s="5" t="inlineStr">
        <is>
          <t>05 10 00</t>
        </is>
      </c>
      <c r="C7" s="5" t="inlineStr"/>
      <c r="D7" s="5" t="inlineStr">
        <is>
          <t>Safety Setup/Perimeter</t>
        </is>
      </c>
      <c r="E7" s="5" t="inlineStr">
        <is>
          <t>LS</t>
        </is>
      </c>
      <c r="F7" s="5" t="n">
        <v>1</v>
      </c>
      <c r="G7" s="5" t="n">
        <v>2</v>
      </c>
      <c r="H7" s="5" t="n">
        <v>12</v>
      </c>
      <c r="I7" s="5">
        <f>F7*H7</f>
        <v/>
      </c>
      <c r="J7" s="5" t="n">
        <v>45</v>
      </c>
      <c r="K7" s="9">
        <f>I7*J7</f>
        <v/>
      </c>
      <c r="L7" s="5" t="n">
        <v>650</v>
      </c>
      <c r="M7" s="9">
        <f>K7+L7</f>
        <v/>
      </c>
      <c r="N7" s="5" t="inlineStr">
        <is>
          <t>12%</t>
        </is>
      </c>
      <c r="O7" s="9">
        <f>M7*(1+N7)</f>
        <v/>
      </c>
    </row>
    <row r="8">
      <c r="A8" s="5" t="inlineStr">
        <is>
          <t>E-004</t>
        </is>
      </c>
      <c r="B8" s="5" t="inlineStr">
        <is>
          <t>05 10 00</t>
        </is>
      </c>
      <c r="C8" s="5" t="inlineStr">
        <is>
          <t>CRANE</t>
        </is>
      </c>
      <c r="D8" s="5" t="inlineStr">
        <is>
          <t>Crane 60-ton + Operator</t>
        </is>
      </c>
      <c r="E8" s="5" t="inlineStr">
        <is>
          <t>DAY</t>
        </is>
      </c>
      <c r="F8" s="5" t="n"/>
      <c r="G8" s="5" t="n">
        <v>1</v>
      </c>
      <c r="H8" s="5" t="n">
        <v>8</v>
      </c>
      <c r="I8" s="5">
        <f>F8*H8</f>
        <v/>
      </c>
      <c r="J8" s="5" t="n">
        <v>65</v>
      </c>
      <c r="K8" s="9">
        <f>I8*J8</f>
        <v/>
      </c>
      <c r="L8" s="5" t="n">
        <v>1850</v>
      </c>
      <c r="M8" s="9">
        <f>K8+L8</f>
        <v/>
      </c>
      <c r="N8" s="5" t="inlineStr">
        <is>
          <t>12%</t>
        </is>
      </c>
      <c r="O8" s="9">
        <f>M8*(1+N8)</f>
        <v/>
      </c>
    </row>
    <row r="9">
      <c r="A9" s="5" t="inlineStr">
        <is>
          <t>E-005</t>
        </is>
      </c>
      <c r="B9" s="5" t="inlineStr">
        <is>
          <t>05 10 00</t>
        </is>
      </c>
      <c r="C9" s="5" t="inlineStr"/>
      <c r="D9" s="5" t="inlineStr">
        <is>
          <t>Crane 80-ton + Operator</t>
        </is>
      </c>
      <c r="E9" s="5" t="inlineStr">
        <is>
          <t>DAY</t>
        </is>
      </c>
      <c r="F9" s="5" t="n"/>
      <c r="G9" s="5" t="n">
        <v>1</v>
      </c>
      <c r="H9" s="5" t="n">
        <v>8</v>
      </c>
      <c r="I9" s="5">
        <f>F9*H9</f>
        <v/>
      </c>
      <c r="J9" s="5" t="n">
        <v>65</v>
      </c>
      <c r="K9" s="9">
        <f>I9*J9</f>
        <v/>
      </c>
      <c r="L9" s="5" t="n">
        <v>2450</v>
      </c>
      <c r="M9" s="9">
        <f>K9+L9</f>
        <v/>
      </c>
      <c r="N9" s="5" t="inlineStr">
        <is>
          <t>12%</t>
        </is>
      </c>
      <c r="O9" s="9">
        <f>M9*(1+N9)</f>
        <v/>
      </c>
    </row>
    <row r="10">
      <c r="A10" s="5" t="inlineStr">
        <is>
          <t>E-006</t>
        </is>
      </c>
      <c r="B10" s="5" t="inlineStr">
        <is>
          <t>05 10 00</t>
        </is>
      </c>
      <c r="C10" s="5" t="inlineStr"/>
      <c r="D10" s="5" t="inlineStr">
        <is>
          <t>Crane 100-ton + Operator</t>
        </is>
      </c>
      <c r="E10" s="5" t="inlineStr">
        <is>
          <t>DAY</t>
        </is>
      </c>
      <c r="F10" s="5" t="n"/>
      <c r="G10" s="5" t="n">
        <v>1</v>
      </c>
      <c r="H10" s="5" t="n">
        <v>8</v>
      </c>
      <c r="I10" s="5">
        <f>F10*H10</f>
        <v/>
      </c>
      <c r="J10" s="5" t="n">
        <v>65</v>
      </c>
      <c r="K10" s="9">
        <f>I10*J10</f>
        <v/>
      </c>
      <c r="L10" s="5" t="n">
        <v>3200</v>
      </c>
      <c r="M10" s="9">
        <f>K10+L10</f>
        <v/>
      </c>
      <c r="N10" s="5" t="inlineStr">
        <is>
          <t>12%</t>
        </is>
      </c>
      <c r="O10" s="9">
        <f>M10*(1+N10)</f>
        <v/>
      </c>
    </row>
    <row r="11">
      <c r="A11" s="5" t="inlineStr">
        <is>
          <t>E-007</t>
        </is>
      </c>
      <c r="B11" s="5" t="inlineStr">
        <is>
          <t>05 10 00</t>
        </is>
      </c>
      <c r="C11" s="5" t="inlineStr"/>
      <c r="D11" s="5" t="inlineStr">
        <is>
          <t>Rigging Equipment</t>
        </is>
      </c>
      <c r="E11" s="5" t="inlineStr">
        <is>
          <t>DAY</t>
        </is>
      </c>
      <c r="F11" s="5" t="n"/>
      <c r="G11" s="5" t="n">
        <v>0</v>
      </c>
      <c r="H11" s="5" t="n">
        <v>0</v>
      </c>
      <c r="I11" s="5">
        <f>F11*8</f>
        <v/>
      </c>
      <c r="J11" s="5" t="n">
        <v>0</v>
      </c>
      <c r="K11" s="9">
        <f>I11*J11</f>
        <v/>
      </c>
      <c r="L11" s="5" t="n">
        <v>450</v>
      </c>
      <c r="M11" s="9">
        <f>K11+L11</f>
        <v/>
      </c>
      <c r="N11" s="5" t="inlineStr">
        <is>
          <t>12%</t>
        </is>
      </c>
      <c r="O11" s="9">
        <f>M11*(1+N11)</f>
        <v/>
      </c>
    </row>
    <row r="12">
      <c r="A12" s="5" t="inlineStr">
        <is>
          <t>E-008</t>
        </is>
      </c>
      <c r="B12" s="5" t="inlineStr">
        <is>
          <t>05 10 00</t>
        </is>
      </c>
      <c r="C12" s="5" t="inlineStr">
        <is>
          <t>HANDLING</t>
        </is>
      </c>
      <c r="D12" s="5" t="inlineStr">
        <is>
          <t>Unload/Distribute Steel</t>
        </is>
      </c>
      <c r="E12" s="5" t="inlineStr">
        <is>
          <t>TON</t>
        </is>
      </c>
      <c r="F12" s="5" t="n"/>
      <c r="G12" s="5" t="n">
        <v>3</v>
      </c>
      <c r="H12" s="5" t="n">
        <v>0.4</v>
      </c>
      <c r="I12" s="5">
        <f>F12*H12</f>
        <v/>
      </c>
      <c r="J12" s="5" t="n">
        <v>45</v>
      </c>
      <c r="K12" s="9">
        <f>I12*J12</f>
        <v/>
      </c>
      <c r="L12" s="5" t="n">
        <v>35</v>
      </c>
      <c r="M12" s="9">
        <f>K12+L12</f>
        <v/>
      </c>
      <c r="N12" s="5" t="inlineStr">
        <is>
          <t>12%</t>
        </is>
      </c>
      <c r="O12" s="9">
        <f>M12*(1+N12)</f>
        <v/>
      </c>
    </row>
    <row r="13">
      <c r="A13" s="5" t="inlineStr">
        <is>
          <t>E-009</t>
        </is>
      </c>
      <c r="B13" s="5" t="inlineStr">
        <is>
          <t>05 10 13.23</t>
        </is>
      </c>
      <c r="C13" s="5" t="inlineStr">
        <is>
          <t>COLUMNS</t>
        </is>
      </c>
      <c r="D13" s="5" t="inlineStr">
        <is>
          <t>HSS Column (heavy)</t>
        </is>
      </c>
      <c r="E13" s="5" t="inlineStr">
        <is>
          <t>EA</t>
        </is>
      </c>
      <c r="F13" s="5" t="n"/>
      <c r="G13" s="5" t="n">
        <v>5</v>
      </c>
      <c r="H13" s="5" t="n">
        <v>3.5</v>
      </c>
      <c r="I13" s="5">
        <f>F13*H13</f>
        <v/>
      </c>
      <c r="J13" s="5" t="n">
        <v>45</v>
      </c>
      <c r="K13" s="9">
        <f>I13*J13</f>
        <v/>
      </c>
      <c r="L13" s="5" t="n">
        <v>225</v>
      </c>
      <c r="M13" s="9">
        <f>K13+L13</f>
        <v/>
      </c>
      <c r="N13" s="5" t="inlineStr">
        <is>
          <t>12%</t>
        </is>
      </c>
      <c r="O13" s="9">
        <f>M13*(1+N13)</f>
        <v/>
      </c>
    </row>
    <row r="14">
      <c r="A14" s="5" t="inlineStr">
        <is>
          <t>E-010</t>
        </is>
      </c>
      <c r="B14" s="5" t="inlineStr">
        <is>
          <t>05 10 13.23</t>
        </is>
      </c>
      <c r="C14" s="5" t="inlineStr"/>
      <c r="D14" s="5" t="inlineStr">
        <is>
          <t>W-Shape Column (medium)</t>
        </is>
      </c>
      <c r="E14" s="5" t="inlineStr">
        <is>
          <t>EA</t>
        </is>
      </c>
      <c r="F14" s="5" t="n"/>
      <c r="G14" s="5" t="n">
        <v>4</v>
      </c>
      <c r="H14" s="5" t="n">
        <v>2.5</v>
      </c>
      <c r="I14" s="5">
        <f>F14*H14</f>
        <v/>
      </c>
      <c r="J14" s="5" t="n">
        <v>45</v>
      </c>
      <c r="K14" s="9">
        <f>I14*J14</f>
        <v/>
      </c>
      <c r="L14" s="5" t="n">
        <v>150</v>
      </c>
      <c r="M14" s="9">
        <f>K14+L14</f>
        <v/>
      </c>
      <c r="N14" s="5" t="inlineStr">
        <is>
          <t>12%</t>
        </is>
      </c>
      <c r="O14" s="9">
        <f>M14*(1+N14)</f>
        <v/>
      </c>
    </row>
    <row r="15">
      <c r="A15" s="5" t="inlineStr">
        <is>
          <t>E-011</t>
        </is>
      </c>
      <c r="B15" s="5" t="inlineStr">
        <is>
          <t>05 10 13.23</t>
        </is>
      </c>
      <c r="C15" s="5" t="inlineStr"/>
      <c r="D15" s="5" t="inlineStr">
        <is>
          <t>W-Shape Column (light)</t>
        </is>
      </c>
      <c r="E15" s="5" t="inlineStr">
        <is>
          <t>EA</t>
        </is>
      </c>
      <c r="F15" s="5" t="n"/>
      <c r="G15" s="5" t="n">
        <v>3</v>
      </c>
      <c r="H15" s="5" t="n">
        <v>1.5</v>
      </c>
      <c r="I15" s="5">
        <f>F15*H15</f>
        <v/>
      </c>
      <c r="J15" s="5" t="n">
        <v>45</v>
      </c>
      <c r="K15" s="9">
        <f>I15*J15</f>
        <v/>
      </c>
      <c r="L15" s="5" t="n">
        <v>85</v>
      </c>
      <c r="M15" s="9">
        <f>K15+L15</f>
        <v/>
      </c>
      <c r="N15" s="5" t="inlineStr">
        <is>
          <t>12%</t>
        </is>
      </c>
      <c r="O15" s="9">
        <f>M15*(1+N15)</f>
        <v/>
      </c>
    </row>
    <row r="16">
      <c r="A16" s="5" t="inlineStr">
        <is>
          <t>E-012</t>
        </is>
      </c>
      <c r="B16" s="5" t="inlineStr">
        <is>
          <t>05 10 13.19</t>
        </is>
      </c>
      <c r="C16" s="5" t="inlineStr">
        <is>
          <t>BEAMS</t>
        </is>
      </c>
      <c r="D16" s="5" t="inlineStr">
        <is>
          <t>Beam Erection (heavy)</t>
        </is>
      </c>
      <c r="E16" s="5" t="inlineStr">
        <is>
          <t>EA</t>
        </is>
      </c>
      <c r="F16" s="5" t="n"/>
      <c r="G16" s="5" t="n">
        <v>5</v>
      </c>
      <c r="H16" s="5" t="n">
        <v>4</v>
      </c>
      <c r="I16" s="5">
        <f>F16*H16</f>
        <v/>
      </c>
      <c r="J16" s="5" t="n">
        <v>45</v>
      </c>
      <c r="K16" s="9">
        <f>I16*J16</f>
        <v/>
      </c>
      <c r="L16" s="5" t="n">
        <v>280</v>
      </c>
      <c r="M16" s="9">
        <f>K16+L16</f>
        <v/>
      </c>
      <c r="N16" s="5" t="inlineStr">
        <is>
          <t>12%</t>
        </is>
      </c>
      <c r="O16" s="9">
        <f>M16*(1+N16)</f>
        <v/>
      </c>
    </row>
    <row r="17">
      <c r="A17" s="5" t="inlineStr">
        <is>
          <t>E-013</t>
        </is>
      </c>
      <c r="B17" s="5" t="inlineStr">
        <is>
          <t>05 10 13.19</t>
        </is>
      </c>
      <c r="C17" s="5" t="inlineStr"/>
      <c r="D17" s="5" t="inlineStr">
        <is>
          <t>Beam Erection (medium)</t>
        </is>
      </c>
      <c r="E17" s="5" t="inlineStr">
        <is>
          <t>EA</t>
        </is>
      </c>
      <c r="F17" s="5" t="n"/>
      <c r="G17" s="5" t="n">
        <v>4</v>
      </c>
      <c r="H17" s="5" t="n">
        <v>2.5</v>
      </c>
      <c r="I17" s="5">
        <f>F17*H17</f>
        <v/>
      </c>
      <c r="J17" s="5" t="n">
        <v>45</v>
      </c>
      <c r="K17" s="9">
        <f>I17*J17</f>
        <v/>
      </c>
      <c r="L17" s="5" t="n">
        <v>165</v>
      </c>
      <c r="M17" s="9">
        <f>K17+L17</f>
        <v/>
      </c>
      <c r="N17" s="5" t="inlineStr">
        <is>
          <t>12%</t>
        </is>
      </c>
      <c r="O17" s="9">
        <f>M17*(1+N17)</f>
        <v/>
      </c>
    </row>
    <row r="18">
      <c r="A18" s="5" t="inlineStr">
        <is>
          <t>E-014</t>
        </is>
      </c>
      <c r="B18" s="5" t="inlineStr">
        <is>
          <t>05 10 13.19</t>
        </is>
      </c>
      <c r="C18" s="5" t="inlineStr"/>
      <c r="D18" s="5" t="inlineStr">
        <is>
          <t>Beam Erection (light)</t>
        </is>
      </c>
      <c r="E18" s="5" t="inlineStr">
        <is>
          <t>EA</t>
        </is>
      </c>
      <c r="F18" s="5" t="n"/>
      <c r="G18" s="5" t="n">
        <v>3</v>
      </c>
      <c r="H18" s="5" t="n">
        <v>1.5</v>
      </c>
      <c r="I18" s="5">
        <f>F18*H18</f>
        <v/>
      </c>
      <c r="J18" s="5" t="n">
        <v>45</v>
      </c>
      <c r="K18" s="9">
        <f>I18*J18</f>
        <v/>
      </c>
      <c r="L18" s="5" t="n">
        <v>95</v>
      </c>
      <c r="M18" s="9">
        <f>K18+L18</f>
        <v/>
      </c>
      <c r="N18" s="5" t="inlineStr">
        <is>
          <t>12%</t>
        </is>
      </c>
      <c r="O18" s="9">
        <f>M18*(1+N18)</f>
        <v/>
      </c>
    </row>
    <row r="19">
      <c r="A19" s="5" t="inlineStr">
        <is>
          <t>E-015</t>
        </is>
      </c>
      <c r="B19" s="5" t="inlineStr">
        <is>
          <t>05 20 00</t>
        </is>
      </c>
      <c r="C19" s="5" t="inlineStr">
        <is>
          <t>JOISTS</t>
        </is>
      </c>
      <c r="D19" s="5" t="inlineStr">
        <is>
          <t>Joist Placement</t>
        </is>
      </c>
      <c r="E19" s="5" t="inlineStr">
        <is>
          <t>EA</t>
        </is>
      </c>
      <c r="F19" s="5" t="n"/>
      <c r="G19" s="5" t="n">
        <v>3</v>
      </c>
      <c r="H19" s="5" t="n">
        <v>0.5</v>
      </c>
      <c r="I19" s="5">
        <f>F19*H19</f>
        <v/>
      </c>
      <c r="J19" s="5" t="n">
        <v>45</v>
      </c>
      <c r="K19" s="9">
        <f>I19*J19</f>
        <v/>
      </c>
      <c r="L19" s="5" t="n">
        <v>45</v>
      </c>
      <c r="M19" s="9">
        <f>K19+L19</f>
        <v/>
      </c>
      <c r="N19" s="5" t="inlineStr">
        <is>
          <t>12%</t>
        </is>
      </c>
      <c r="O19" s="9">
        <f>M19*(1+N19)</f>
        <v/>
      </c>
    </row>
    <row r="20">
      <c r="A20" s="5" t="inlineStr">
        <is>
          <t>E-016</t>
        </is>
      </c>
      <c r="B20" s="5" t="inlineStr">
        <is>
          <t>05 30 00</t>
        </is>
      </c>
      <c r="C20" s="5" t="inlineStr">
        <is>
          <t>DECKING</t>
        </is>
      </c>
      <c r="D20" s="5" t="inlineStr">
        <is>
          <t>Deck Installation</t>
        </is>
      </c>
      <c r="E20" s="5" t="inlineStr">
        <is>
          <t>SF</t>
        </is>
      </c>
      <c r="F20" s="5" t="n"/>
      <c r="G20" s="5" t="n">
        <v>4</v>
      </c>
      <c r="H20" s="5" t="n">
        <v>0.02</v>
      </c>
      <c r="I20" s="5">
        <f>F20*H20</f>
        <v/>
      </c>
      <c r="J20" s="5" t="n">
        <v>45</v>
      </c>
      <c r="K20" s="9">
        <f>I20*J20</f>
        <v/>
      </c>
      <c r="L20" s="5" t="n">
        <v>0.35</v>
      </c>
      <c r="M20" s="9">
        <f>K20+L20</f>
        <v/>
      </c>
      <c r="N20" s="5" t="inlineStr">
        <is>
          <t>12%</t>
        </is>
      </c>
      <c r="O20" s="9">
        <f>M20*(1+N20)</f>
        <v/>
      </c>
    </row>
    <row r="21">
      <c r="A21" s="5" t="inlineStr">
        <is>
          <t>E-017</t>
        </is>
      </c>
      <c r="B21" s="5" t="inlineStr">
        <is>
          <t>05 10 00</t>
        </is>
      </c>
      <c r="C21" s="5" t="inlineStr">
        <is>
          <t>CONNECTIONS</t>
        </is>
      </c>
      <c r="D21" s="5" t="inlineStr">
        <is>
          <t>Bolted Connections</t>
        </is>
      </c>
      <c r="E21" s="5" t="inlineStr">
        <is>
          <t>EA</t>
        </is>
      </c>
      <c r="F21" s="5" t="n"/>
      <c r="G21" s="5" t="n">
        <v>2</v>
      </c>
      <c r="H21" s="5" t="n">
        <v>0.25</v>
      </c>
      <c r="I21" s="5">
        <f>F21*H21</f>
        <v/>
      </c>
      <c r="J21" s="5" t="n">
        <v>45</v>
      </c>
      <c r="K21" s="9">
        <f>I21*J21</f>
        <v/>
      </c>
      <c r="L21" s="5" t="n">
        <v>5</v>
      </c>
      <c r="M21" s="9">
        <f>K21+L21</f>
        <v/>
      </c>
      <c r="N21" s="5" t="inlineStr">
        <is>
          <t>12%</t>
        </is>
      </c>
      <c r="O21" s="9">
        <f>M21*(1+N21)</f>
        <v/>
      </c>
    </row>
    <row r="22">
      <c r="A22" s="5" t="inlineStr">
        <is>
          <t>E-018</t>
        </is>
      </c>
      <c r="B22" s="5" t="inlineStr">
        <is>
          <t>05 10 00</t>
        </is>
      </c>
      <c r="C22" s="5" t="inlineStr"/>
      <c r="D22" s="5" t="inlineStr">
        <is>
          <t>Welded Connections</t>
        </is>
      </c>
      <c r="E22" s="5" t="inlineStr">
        <is>
          <t>EA</t>
        </is>
      </c>
      <c r="F22" s="5" t="n"/>
      <c r="G22" s="5" t="n">
        <v>3</v>
      </c>
      <c r="H22" s="5" t="n">
        <v>0.5</v>
      </c>
      <c r="I22" s="5">
        <f>F22*H22</f>
        <v/>
      </c>
      <c r="J22" s="5" t="n">
        <v>65</v>
      </c>
      <c r="K22" s="9">
        <f>I22*J22</f>
        <v/>
      </c>
      <c r="L22" s="5" t="n">
        <v>15</v>
      </c>
      <c r="M22" s="9">
        <f>K22+L22</f>
        <v/>
      </c>
      <c r="N22" s="5" t="inlineStr">
        <is>
          <t>12%</t>
        </is>
      </c>
      <c r="O22" s="9">
        <f>M22*(1+N22)</f>
        <v/>
      </c>
    </row>
    <row r="23">
      <c r="A23" s="5" t="inlineStr">
        <is>
          <t>E-019</t>
        </is>
      </c>
      <c r="B23" s="5" t="inlineStr">
        <is>
          <t>05 10 00</t>
        </is>
      </c>
      <c r="C23" s="5" t="inlineStr">
        <is>
          <t>FINISH</t>
        </is>
      </c>
      <c r="D23" s="5" t="inlineStr">
        <is>
          <t>Touch-up/Punch List</t>
        </is>
      </c>
      <c r="E23" s="5" t="inlineStr">
        <is>
          <t>LS</t>
        </is>
      </c>
      <c r="F23" s="5" t="n">
        <v>1</v>
      </c>
      <c r="G23" s="5" t="n">
        <v>2</v>
      </c>
      <c r="H23" s="5" t="n">
        <v>16</v>
      </c>
      <c r="I23" s="5">
        <f>F23*H23</f>
        <v/>
      </c>
      <c r="J23" s="5" t="n">
        <v>45</v>
      </c>
      <c r="K23" s="9">
        <f>I23*J23</f>
        <v/>
      </c>
      <c r="L23" s="5" t="n">
        <v>350</v>
      </c>
      <c r="M23" s="9">
        <f>K23+L23</f>
        <v/>
      </c>
      <c r="N23" s="5" t="inlineStr">
        <is>
          <t>12%</t>
        </is>
      </c>
      <c r="O23" s="9">
        <f>M23*(1+N23)</f>
        <v/>
      </c>
    </row>
    <row r="24">
      <c r="A24" s="5" t="inlineStr">
        <is>
          <t>E-020</t>
        </is>
      </c>
      <c r="B24" s="5" t="inlineStr">
        <is>
          <t>05 10 00</t>
        </is>
      </c>
      <c r="C24" s="5" t="inlineStr">
        <is>
          <t>DEMOB</t>
        </is>
      </c>
      <c r="D24" s="5" t="inlineStr">
        <is>
          <t>Site Demobilization</t>
        </is>
      </c>
      <c r="E24" s="5" t="inlineStr">
        <is>
          <t>LS</t>
        </is>
      </c>
      <c r="F24" s="5" t="n">
        <v>1</v>
      </c>
      <c r="G24" s="5" t="n">
        <v>4</v>
      </c>
      <c r="H24" s="5" t="n">
        <v>8</v>
      </c>
      <c r="I24" s="5">
        <f>F24*H24</f>
        <v/>
      </c>
      <c r="J24" s="5" t="n">
        <v>45</v>
      </c>
      <c r="K24" s="9">
        <f>I24*J24</f>
        <v/>
      </c>
      <c r="L24" s="5" t="n">
        <v>1200</v>
      </c>
      <c r="M24" s="9">
        <f>K24+L24</f>
        <v/>
      </c>
      <c r="N24" s="5" t="inlineStr">
        <is>
          <t>12%</t>
        </is>
      </c>
      <c r="O24" s="9">
        <f>M24*(1+N24)</f>
        <v/>
      </c>
    </row>
    <row r="26">
      <c r="A26" s="6" t="inlineStr">
        <is>
          <t>ERECTION TOTALS</t>
        </is>
      </c>
      <c r="K26" s="10">
        <f>SUM(K5:K24)</f>
        <v/>
      </c>
      <c r="M26" s="10">
        <f>SUM(M5:M24)</f>
        <v/>
      </c>
      <c r="O26" s="10">
        <f>SUM(O5:O24)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PROJECT SUMMARY - CSI DIVISION 05: METALS</t>
        </is>
      </c>
    </row>
    <row r="2">
      <c r="A2" s="7" t="inlineStr">
        <is>
          <t>CSI MasterFormat Classification: Division 05 - Metals</t>
        </is>
      </c>
    </row>
    <row r="4">
      <c r="A4" s="6" t="inlineStr">
        <is>
          <t>VIEW MODE:</t>
        </is>
      </c>
      <c r="B4" t="inlineStr">
        <is>
          <t>GC View (All Divisions) / Subcontractor View (Division 05)</t>
        </is>
      </c>
    </row>
    <row r="6">
      <c r="A6" s="3" t="inlineStr">
        <is>
          <t>PROJECT SUMMARY</t>
        </is>
      </c>
    </row>
    <row r="7">
      <c r="A7" t="inlineStr">
        <is>
          <t>Project Name:</t>
        </is>
      </c>
    </row>
    <row r="8">
      <c r="A8" t="inlineStr">
        <is>
          <t>Project Number:</t>
        </is>
      </c>
    </row>
    <row r="9">
      <c r="A9" t="inlineStr">
        <is>
          <t>Client:</t>
        </is>
      </c>
    </row>
    <row r="10">
      <c r="A10" t="inlineStr">
        <is>
          <t>Location:</t>
        </is>
      </c>
    </row>
    <row r="11">
      <c r="A11" t="inlineStr">
        <is>
          <t>Date:</t>
        </is>
      </c>
    </row>
    <row r="12">
      <c r="A12" t="inlineStr">
        <is>
          <t>Estimator:</t>
        </is>
      </c>
    </row>
    <row r="14">
      <c r="A14" s="3" t="inlineStr">
        <is>
          <t>COST SUMMARY BY CSI CODE</t>
        </is>
      </c>
    </row>
    <row r="15">
      <c r="A15" s="4" t="inlineStr">
        <is>
          <t>CSI Code</t>
        </is>
      </c>
      <c r="B15" s="4" t="inlineStr">
        <is>
          <t>Description</t>
        </is>
      </c>
      <c r="C15" s="4" t="inlineStr">
        <is>
          <t>Fabrication</t>
        </is>
      </c>
      <c r="D15" s="4" t="inlineStr">
        <is>
          <t>Erection</t>
        </is>
      </c>
    </row>
    <row r="16">
      <c r="A16" s="5" t="inlineStr">
        <is>
          <t>05 10 00</t>
        </is>
      </c>
      <c r="B16" s="5" t="inlineStr">
        <is>
          <t>Structural Metal Framing</t>
        </is>
      </c>
      <c r="C16" s="9">
        <f>'2-Fabrication'!P26</f>
        <v/>
      </c>
      <c r="D16" s="9">
        <f>'3-Erection'!O26</f>
        <v/>
      </c>
    </row>
    <row r="17">
      <c r="A17" s="5" t="inlineStr">
        <is>
          <t>05 20 00</t>
        </is>
      </c>
      <c r="B17" s="5" t="inlineStr">
        <is>
          <t>Metal Joists</t>
        </is>
      </c>
      <c r="C17" s="9" t="n">
        <v>0</v>
      </c>
      <c r="D17" s="9" t="n">
        <v>0</v>
      </c>
    </row>
    <row r="18">
      <c r="A18" s="5" t="inlineStr">
        <is>
          <t>05 30 00</t>
        </is>
      </c>
      <c r="B18" s="5" t="inlineStr">
        <is>
          <t>Metal Decking</t>
        </is>
      </c>
      <c r="C18" s="9" t="n">
        <v>0</v>
      </c>
      <c r="D18" s="9" t="n">
        <v>0</v>
      </c>
    </row>
    <row r="19">
      <c r="A19" s="5" t="inlineStr">
        <is>
          <t>05 40 00</t>
        </is>
      </c>
      <c r="B19" s="5" t="inlineStr">
        <is>
          <t>Cold-Formed Metal Framing</t>
        </is>
      </c>
      <c r="C19" s="9" t="n">
        <v>0</v>
      </c>
      <c r="D19" s="9" t="n">
        <v>0</v>
      </c>
    </row>
    <row r="20">
      <c r="A20" s="5" t="inlineStr">
        <is>
          <t>05 50 00</t>
        </is>
      </c>
      <c r="B20" s="5" t="inlineStr">
        <is>
          <t>Metal Fabrications</t>
        </is>
      </c>
      <c r="C20" s="9" t="n">
        <v>0</v>
      </c>
      <c r="D20" s="9" t="n">
        <v>0</v>
      </c>
    </row>
    <row r="21">
      <c r="A21" s="5" t="inlineStr">
        <is>
          <t>05 60 00</t>
        </is>
      </c>
      <c r="B21" s="5" t="inlineStr">
        <is>
          <t>Hydraulic Fabrications</t>
        </is>
      </c>
      <c r="C21" s="9" t="n">
        <v>0</v>
      </c>
      <c r="D21" s="9" t="n">
        <v>0</v>
      </c>
    </row>
    <row r="22">
      <c r="A22" s="5" t="inlineStr">
        <is>
          <t>05 70 00</t>
        </is>
      </c>
      <c r="B22" s="5" t="inlineStr">
        <is>
          <t>Ornamental Metal</t>
        </is>
      </c>
      <c r="C22" s="9" t="n">
        <v>0</v>
      </c>
      <c r="D22" s="9" t="n">
        <v>0</v>
      </c>
    </row>
    <row r="23">
      <c r="A23" s="5" t="inlineStr">
        <is>
          <t>05 80 00</t>
        </is>
      </c>
      <c r="B23" s="5" t="inlineStr">
        <is>
          <t>Expansion Control</t>
        </is>
      </c>
      <c r="C23" s="9" t="n">
        <v>0</v>
      </c>
      <c r="D23" s="9" t="n">
        <v>0</v>
      </c>
    </row>
    <row r="24">
      <c r="A24" s="5" t="inlineStr">
        <is>
          <t>05 90 00</t>
        </is>
      </c>
      <c r="B24" s="5" t="inlineStr">
        <is>
          <t>Metal Restoration and Cleaning</t>
        </is>
      </c>
      <c r="C24" s="9" t="n">
        <v>0</v>
      </c>
      <c r="D24" s="9" t="n">
        <v>0</v>
      </c>
    </row>
    <row r="25">
      <c r="A25" s="6" t="inlineStr">
        <is>
          <t>GRAND TOTAL</t>
        </is>
      </c>
      <c r="C25" s="11">
        <f>'2-Fabrication'!P26</f>
        <v/>
      </c>
      <c r="D25" s="11">
        <f>'3-Erection'!O26</f>
        <v/>
      </c>
      <c r="E25" s="11">
        <f>C25+D25</f>
        <v/>
      </c>
    </row>
    <row r="26">
      <c r="C26" t="inlineStr">
        <is>
          <t>FABRICATION</t>
        </is>
      </c>
      <c r="D26" t="inlineStr">
        <is>
          <t>ERECTION</t>
        </is>
      </c>
      <c r="E26" t="inlineStr">
        <is>
          <t>TOTAL PROJECT</t>
        </is>
      </c>
    </row>
    <row r="28">
      <c r="A28" s="3" t="inlineStr">
        <is>
          <t>CSI MASTERFORMAT REFERENCE - DIVISION 05: METALS</t>
        </is>
      </c>
    </row>
    <row r="29">
      <c r="A29" s="4" t="inlineStr">
        <is>
          <t>CSI Code</t>
        </is>
      </c>
      <c r="B29" s="4" t="inlineStr">
        <is>
          <t>Description</t>
        </is>
      </c>
      <c r="C29" s="4" t="inlineStr">
        <is>
          <t>Scope</t>
        </is>
      </c>
    </row>
    <row r="30">
      <c r="A30" s="5" t="inlineStr">
        <is>
          <t>05 10 00</t>
        </is>
      </c>
      <c r="B30" s="5" t="inlineStr">
        <is>
          <t>Structural Metal Framing</t>
        </is>
      </c>
      <c r="C30" s="5" t="inlineStr">
        <is>
          <t>Beams, columns, structural steel</t>
        </is>
      </c>
    </row>
    <row r="31">
      <c r="A31" s="5" t="inlineStr">
        <is>
          <t>05 20 00</t>
        </is>
      </c>
      <c r="B31" s="5" t="inlineStr">
        <is>
          <t>Metal Joists</t>
        </is>
      </c>
      <c r="C31" s="5" t="inlineStr">
        <is>
          <t>Open-web steel joists</t>
        </is>
      </c>
    </row>
    <row r="32">
      <c r="A32" s="5" t="inlineStr">
        <is>
          <t>05 30 00</t>
        </is>
      </c>
      <c r="B32" s="5" t="inlineStr">
        <is>
          <t>Metal Decking</t>
        </is>
      </c>
      <c r="C32" s="5" t="inlineStr">
        <is>
          <t>Floor and roof deck</t>
        </is>
      </c>
    </row>
    <row r="33">
      <c r="A33" s="5" t="inlineStr">
        <is>
          <t>05 40 00</t>
        </is>
      </c>
      <c r="B33" s="5" t="inlineStr">
        <is>
          <t>Cold-Formed Metal Framing</t>
        </is>
      </c>
      <c r="C33" s="5" t="inlineStr">
        <is>
          <t>Light-gauge steel framing</t>
        </is>
      </c>
    </row>
    <row r="34">
      <c r="A34" s="5" t="inlineStr">
        <is>
          <t>05 50 00</t>
        </is>
      </c>
      <c r="B34" s="5" t="inlineStr">
        <is>
          <t>Metal Fabrications</t>
        </is>
      </c>
      <c r="C34" s="5" t="inlineStr">
        <is>
          <t>Stairs, ladders, railings</t>
        </is>
      </c>
    </row>
    <row r="35">
      <c r="A35" s="5" t="inlineStr">
        <is>
          <t>05 60 00</t>
        </is>
      </c>
      <c r="B35" s="5" t="inlineStr">
        <is>
          <t>Hydraulic Fabrications</t>
        </is>
      </c>
      <c r="C35" s="5" t="inlineStr">
        <is>
          <t>Hydraulic structures</t>
        </is>
      </c>
    </row>
    <row r="36">
      <c r="A36" s="5" t="inlineStr">
        <is>
          <t>05 70 00</t>
        </is>
      </c>
      <c r="B36" s="5" t="inlineStr">
        <is>
          <t>Ornamental Metal</t>
        </is>
      </c>
      <c r="C36" s="5" t="inlineStr">
        <is>
          <t>Decorative metalwork</t>
        </is>
      </c>
    </row>
    <row r="37">
      <c r="A37" s="5" t="inlineStr">
        <is>
          <t>05 80 00</t>
        </is>
      </c>
      <c r="B37" s="5" t="inlineStr">
        <is>
          <t>Expansion Control</t>
        </is>
      </c>
      <c r="C37" s="5" t="inlineStr">
        <is>
          <t>Expansion joints</t>
        </is>
      </c>
    </row>
    <row r="38">
      <c r="A38" s="5" t="inlineStr">
        <is>
          <t>05 90 00</t>
        </is>
      </c>
      <c r="B38" s="5" t="inlineStr">
        <is>
          <t>Metal Restoration</t>
        </is>
      </c>
      <c r="C38" s="5" t="inlineStr">
        <is>
          <t>Cleaning and repair</t>
        </is>
      </c>
    </row>
    <row r="40">
      <c r="A40" s="6" t="inlineStr">
        <is>
          <t>INSTRUCTIONS:</t>
        </is>
      </c>
    </row>
    <row r="41">
      <c r="A41" t="inlineStr">
        <is>
          <t>1. This estimator follows CSI MasterFormat Division 05 - Metals standards</t>
        </is>
      </c>
    </row>
    <row r="42">
      <c r="A42" t="inlineStr">
        <is>
          <t>2. Each line item includes CSI Code for accurate cost classification</t>
        </is>
      </c>
    </row>
    <row r="43">
      <c r="A43" t="inlineStr">
        <is>
          <t>3. Use View Mode to toggle between GC View (all divisions) and Subcontractor View (Division 05 only)</t>
        </is>
      </c>
    </row>
    <row r="44">
      <c r="A44" t="inlineStr">
        <is>
          <t>4. Cost Summary shows breakdown by CSI Code for detailed tracking</t>
        </is>
      </c>
    </row>
    <row r="45">
      <c r="A45" t="inlineStr">
        <is>
          <t>5. All costs roll up to Division 05 for GC-level reporting</t>
        </is>
      </c>
    </row>
  </sheetData>
  <mergeCells count="5">
    <mergeCell ref="A28:C28"/>
    <mergeCell ref="A2:F2"/>
    <mergeCell ref="A1:F1"/>
    <mergeCell ref="A6:B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2026-03-11T00:18:18Z</dcterms:created>
  <dcterms:modified xmlns:dcterms="http://purl.org/dc/terms/" xmlns:xsi="http://www.w3.org/2001/XMLSchema-instance" xsi:type="dcterms:W3CDTF">2026-03-17T22:53:35Z</dcterms:modified>
</cp:coreProperties>
</file>