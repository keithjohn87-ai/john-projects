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24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 xml:space="preserve">Institutional </t>
        </is>
      </c>
      <c r="K13" t="inlineStr">
        <is>
          <t>Simple Span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Bridge</t>
        </is>
      </c>
      <c r="K14" t="inlineStr">
        <is>
          <t>Other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1" t="inlineStr">
        <is>
          <t>$55.00</t>
        </is>
      </c>
      <c r="C20" t="inlineStr">
        <is>
          <t>45%</t>
        </is>
      </c>
      <c r="D20" s="21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1" t="inlineStr">
        <is>
          <t>$52.00</t>
        </is>
      </c>
      <c r="C21" t="inlineStr">
        <is>
          <t>45%</t>
        </is>
      </c>
      <c r="D21" s="21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1" t="inlineStr">
        <is>
          <t>$48.00</t>
        </is>
      </c>
      <c r="C22" t="inlineStr">
        <is>
          <t>45%</t>
        </is>
      </c>
      <c r="D22" s="21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1" t="inlineStr">
        <is>
          <t>$45.00</t>
        </is>
      </c>
      <c r="C23" t="inlineStr">
        <is>
          <t>45%</t>
        </is>
      </c>
      <c r="D23" s="21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1" t="inlineStr">
        <is>
          <t>$42.00</t>
        </is>
      </c>
      <c r="C24" t="inlineStr">
        <is>
          <t>45%</t>
        </is>
      </c>
      <c r="D24" s="21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1" t="inlineStr">
        <is>
          <t>$38.00</t>
        </is>
      </c>
      <c r="C25" t="inlineStr">
        <is>
          <t>45%</t>
        </is>
      </c>
      <c r="D25" s="21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1" t="inlineStr">
        <is>
          <t>$28.00</t>
        </is>
      </c>
      <c r="C26" t="inlineStr">
        <is>
          <t>45%</t>
        </is>
      </c>
      <c r="D26" s="21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1" t="inlineStr">
        <is>
          <t>$50.00</t>
        </is>
      </c>
      <c r="C27" t="inlineStr">
        <is>
          <t>45%</t>
        </is>
      </c>
      <c r="D27" s="21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$J$11:$J$15</formula1>
    </dataValidation>
    <dataValidation sqref="B13" showErrorMessage="1" showInputMessage="1" allowBlank="1" type="list">
      <formula1>$K$11:$K$14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LF</t>
        </is>
      </c>
      <c r="F2" s="4" t="n"/>
      <c r="G2" s="4" t="inlineStr">
        <is>
          <t>300</t>
        </is>
      </c>
      <c r="H2" s="4" t="inlineStr">
        <is>
          <t>4.25</t>
        </is>
      </c>
      <c r="I2" s="4">
        <f>F2*H2</f>
        <v/>
      </c>
      <c r="J2" s="4" t="inlineStr">
        <is>
          <t>0.35</t>
        </is>
      </c>
      <c r="K2" s="4" t="inlineStr">
        <is>
          <t>45</t>
        </is>
      </c>
      <c r="L2" s="4">
        <f>J2*K2</f>
        <v/>
      </c>
      <c r="M2" s="4">
        <f>I2+L2</f>
        <v/>
      </c>
      <c r="N2" s="4" t="inlineStr">
        <is>
          <t>0%</t>
        </is>
      </c>
      <c r="O2" s="4">
        <f>M2*(1+N2)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LF</t>
        </is>
      </c>
      <c r="F3" s="5" t="n"/>
      <c r="G3" s="5" t="inlineStr">
        <is>
          <t>230</t>
        </is>
      </c>
      <c r="H3" s="5" t="inlineStr">
        <is>
          <t>3.85</t>
        </is>
      </c>
      <c r="I3" s="5">
        <f>F3*H3</f>
        <v/>
      </c>
      <c r="J3" s="5" t="inlineStr">
        <is>
          <t>0.30</t>
        </is>
      </c>
      <c r="K3" s="5" t="inlineStr">
        <is>
          <t>45</t>
        </is>
      </c>
      <c r="L3" s="5">
        <f>J3*K3</f>
        <v/>
      </c>
      <c r="M3" s="5">
        <f>I3+L3</f>
        <v/>
      </c>
      <c r="N3" s="5" t="inlineStr">
        <is>
          <t>0%</t>
        </is>
      </c>
      <c r="O3" s="5">
        <f>M3*(1+N3)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LF</t>
        </is>
      </c>
      <c r="F4" s="5" t="n"/>
      <c r="G4" s="5" t="inlineStr">
        <is>
          <t>241</t>
        </is>
      </c>
      <c r="H4" s="5" t="inlineStr">
        <is>
          <t>3.65</t>
        </is>
      </c>
      <c r="I4" s="5">
        <f>F4*H4</f>
        <v/>
      </c>
      <c r="J4" s="5" t="inlineStr">
        <is>
          <t>0.28</t>
        </is>
      </c>
      <c r="K4" s="5" t="inlineStr">
        <is>
          <t>45</t>
        </is>
      </c>
      <c r="L4" s="5">
        <f>J4*K4</f>
        <v/>
      </c>
      <c r="M4" s="5">
        <f>I4+L4</f>
        <v/>
      </c>
      <c r="N4" s="5" t="inlineStr">
        <is>
          <t>0%</t>
        </is>
      </c>
      <c r="O4" s="5">
        <f>M4*(1+N4)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LF</t>
        </is>
      </c>
      <c r="F5" s="5" t="n"/>
      <c r="G5" s="5" t="inlineStr">
        <is>
          <t>211</t>
        </is>
      </c>
      <c r="H5" s="5" t="inlineStr">
        <is>
          <t>3.45</t>
        </is>
      </c>
      <c r="I5" s="5">
        <f>F5*H5</f>
        <v/>
      </c>
      <c r="J5" s="5" t="inlineStr">
        <is>
          <t>0.26</t>
        </is>
      </c>
      <c r="K5" s="5" t="inlineStr">
        <is>
          <t>45</t>
        </is>
      </c>
      <c r="L5" s="5">
        <f>J5*K5</f>
        <v/>
      </c>
      <c r="M5" s="5">
        <f>I5+L5</f>
        <v/>
      </c>
      <c r="N5" s="5" t="inlineStr">
        <is>
          <t>0%</t>
        </is>
      </c>
      <c r="O5" s="5">
        <f>M5*(1+N5)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LF</t>
        </is>
      </c>
      <c r="F6" s="5" t="n"/>
      <c r="G6" s="5" t="inlineStr">
        <is>
          <t>194</t>
        </is>
      </c>
      <c r="H6" s="5" t="inlineStr">
        <is>
          <t>3.25</t>
        </is>
      </c>
      <c r="I6" s="5">
        <f>F6*H6</f>
        <v/>
      </c>
      <c r="J6" s="5" t="inlineStr">
        <is>
          <t>0.24</t>
        </is>
      </c>
      <c r="K6" s="5" t="inlineStr">
        <is>
          <t>45</t>
        </is>
      </c>
      <c r="L6" s="5">
        <f>J6*K6</f>
        <v/>
      </c>
      <c r="M6" s="5">
        <f>I6+L6</f>
        <v/>
      </c>
      <c r="N6" s="5" t="inlineStr">
        <is>
          <t>0%</t>
        </is>
      </c>
      <c r="O6" s="5">
        <f>M6*(1+N6)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LF</t>
        </is>
      </c>
      <c r="F7" s="5" t="n"/>
      <c r="G7" s="5" t="inlineStr">
        <is>
          <t>162</t>
        </is>
      </c>
      <c r="H7" s="5" t="inlineStr">
        <is>
          <t>3.05</t>
        </is>
      </c>
      <c r="I7" s="5">
        <f>F7*H7</f>
        <v/>
      </c>
      <c r="J7" s="5" t="inlineStr">
        <is>
          <t>0.22</t>
        </is>
      </c>
      <c r="K7" s="5" t="inlineStr">
        <is>
          <t>45</t>
        </is>
      </c>
      <c r="L7" s="5">
        <f>J7*K7</f>
        <v/>
      </c>
      <c r="M7" s="5">
        <f>I7+L7</f>
        <v/>
      </c>
      <c r="N7" s="5" t="inlineStr">
        <is>
          <t>0%</t>
        </is>
      </c>
      <c r="O7" s="5">
        <f>M7*(1+N7)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LF</t>
        </is>
      </c>
      <c r="F8" s="5" t="n"/>
      <c r="G8" s="5" t="inlineStr">
        <is>
          <t>147</t>
        </is>
      </c>
      <c r="H8" s="5" t="inlineStr">
        <is>
          <t>2.85</t>
        </is>
      </c>
      <c r="I8" s="5">
        <f>F8*H8</f>
        <v/>
      </c>
      <c r="J8" s="5" t="inlineStr">
        <is>
          <t>0.20</t>
        </is>
      </c>
      <c r="K8" s="5" t="inlineStr">
        <is>
          <t>45</t>
        </is>
      </c>
      <c r="L8" s="5">
        <f>J8*K8</f>
        <v/>
      </c>
      <c r="M8" s="5">
        <f>I8+L8</f>
        <v/>
      </c>
      <c r="N8" s="5" t="inlineStr">
        <is>
          <t>0%</t>
        </is>
      </c>
      <c r="O8" s="5">
        <f>M8*(1+N8)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LF</t>
        </is>
      </c>
      <c r="F9" s="5" t="n"/>
      <c r="G9" s="5" t="inlineStr">
        <is>
          <t>119</t>
        </is>
      </c>
      <c r="H9" s="5" t="inlineStr">
        <is>
          <t>2.65</t>
        </is>
      </c>
      <c r="I9" s="5">
        <f>F9*H9</f>
        <v/>
      </c>
      <c r="J9" s="5" t="inlineStr">
        <is>
          <t>0.18</t>
        </is>
      </c>
      <c r="K9" s="5" t="inlineStr">
        <is>
          <t>45</t>
        </is>
      </c>
      <c r="L9" s="5">
        <f>J9*K9</f>
        <v/>
      </c>
      <c r="M9" s="5">
        <f>I9+L9</f>
        <v/>
      </c>
      <c r="N9" s="5" t="inlineStr">
        <is>
          <t>0%</t>
        </is>
      </c>
      <c r="O9" s="5">
        <f>M9*(1+N9)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LF</t>
        </is>
      </c>
      <c r="F10" s="5" t="n"/>
      <c r="G10" s="5" t="inlineStr">
        <is>
          <t>100</t>
        </is>
      </c>
      <c r="H10" s="5" t="inlineStr">
        <is>
          <t>2.45</t>
        </is>
      </c>
      <c r="I10" s="5">
        <f>F10*H10</f>
        <v/>
      </c>
      <c r="J10" s="5" t="inlineStr">
        <is>
          <t>0.16</t>
        </is>
      </c>
      <c r="K10" s="5" t="inlineStr">
        <is>
          <t>45</t>
        </is>
      </c>
      <c r="L10" s="5">
        <f>J10*K10</f>
        <v/>
      </c>
      <c r="M10" s="5">
        <f>I10+L10</f>
        <v/>
      </c>
      <c r="N10" s="5" t="inlineStr">
        <is>
          <t>0%</t>
        </is>
      </c>
      <c r="O10" s="5">
        <f>M10*(1+N10)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LF</t>
        </is>
      </c>
      <c r="F11" s="5" t="n"/>
      <c r="G11" s="5" t="inlineStr">
        <is>
          <t>90</t>
        </is>
      </c>
      <c r="H11" s="5" t="inlineStr">
        <is>
          <t>2.25</t>
        </is>
      </c>
      <c r="I11" s="5">
        <f>F11*H11</f>
        <v/>
      </c>
      <c r="J11" s="5" t="inlineStr">
        <is>
          <t>0.15</t>
        </is>
      </c>
      <c r="K11" s="5" t="inlineStr">
        <is>
          <t>45</t>
        </is>
      </c>
      <c r="L11" s="5">
        <f>J11*K11</f>
        <v/>
      </c>
      <c r="M11" s="5">
        <f>I11+L11</f>
        <v/>
      </c>
      <c r="N11" s="5" t="inlineStr">
        <is>
          <t>0%</t>
        </is>
      </c>
      <c r="O11" s="5">
        <f>M11*(1+N11)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LF</t>
        </is>
      </c>
      <c r="F12" s="5" t="n"/>
      <c r="G12" s="5" t="inlineStr">
        <is>
          <t>74</t>
        </is>
      </c>
      <c r="H12" s="5" t="inlineStr">
        <is>
          <t>2.05</t>
        </is>
      </c>
      <c r="I12" s="5">
        <f>F12*H12</f>
        <v/>
      </c>
      <c r="J12" s="5" t="inlineStr">
        <is>
          <t>0.14</t>
        </is>
      </c>
      <c r="K12" s="5" t="inlineStr">
        <is>
          <t>45</t>
        </is>
      </c>
      <c r="L12" s="5">
        <f>J12*K12</f>
        <v/>
      </c>
      <c r="M12" s="5">
        <f>I12+L12</f>
        <v/>
      </c>
      <c r="N12" s="5" t="inlineStr">
        <is>
          <t>0%</t>
        </is>
      </c>
      <c r="O12" s="5">
        <f>M12*(1+N12)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LF</t>
        </is>
      </c>
      <c r="F13" s="5" t="n"/>
      <c r="G13" s="5" t="inlineStr">
        <is>
          <t>65</t>
        </is>
      </c>
      <c r="H13" s="5" t="inlineStr">
        <is>
          <t>1.85</t>
        </is>
      </c>
      <c r="I13" s="5">
        <f>F13*H13</f>
        <v/>
      </c>
      <c r="J13" s="5" t="inlineStr">
        <is>
          <t>0.13</t>
        </is>
      </c>
      <c r="K13" s="5" t="inlineStr">
        <is>
          <t>45</t>
        </is>
      </c>
      <c r="L13" s="5">
        <f>J13*K13</f>
        <v/>
      </c>
      <c r="M13" s="5">
        <f>I13+L13</f>
        <v/>
      </c>
      <c r="N13" s="5" t="inlineStr">
        <is>
          <t>0%</t>
        </is>
      </c>
      <c r="O13" s="5">
        <f>M13*(1+N13)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LF</t>
        </is>
      </c>
      <c r="F14" s="5" t="n"/>
      <c r="G14" s="5" t="inlineStr">
        <is>
          <t>53</t>
        </is>
      </c>
      <c r="H14" s="5" t="inlineStr">
        <is>
          <t>1.65</t>
        </is>
      </c>
      <c r="I14" s="5">
        <f>F14*H14</f>
        <v/>
      </c>
      <c r="J14" s="5" t="inlineStr">
        <is>
          <t>0.12</t>
        </is>
      </c>
      <c r="K14" s="5" t="inlineStr">
        <is>
          <t>45</t>
        </is>
      </c>
      <c r="L14" s="5">
        <f>J14*K14</f>
        <v/>
      </c>
      <c r="M14" s="5">
        <f>I14+L14</f>
        <v/>
      </c>
      <c r="N14" s="5" t="inlineStr">
        <is>
          <t>0%</t>
        </is>
      </c>
      <c r="O14" s="5">
        <f>M14*(1+N14)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LF</t>
        </is>
      </c>
      <c r="F15" s="5" t="n"/>
      <c r="G15" s="5" t="inlineStr">
        <is>
          <t>40</t>
        </is>
      </c>
      <c r="H15" s="5" t="inlineStr">
        <is>
          <t>1.45</t>
        </is>
      </c>
      <c r="I15" s="5">
        <f>F15*H15</f>
        <v/>
      </c>
      <c r="J15" s="5" t="inlineStr">
        <is>
          <t>0.11</t>
        </is>
      </c>
      <c r="K15" s="5" t="inlineStr">
        <is>
          <t>45</t>
        </is>
      </c>
      <c r="L15" s="5">
        <f>J15*K15</f>
        <v/>
      </c>
      <c r="M15" s="5">
        <f>I15+L15</f>
        <v/>
      </c>
      <c r="N15" s="5" t="inlineStr">
        <is>
          <t>0%</t>
        </is>
      </c>
      <c r="O15" s="5">
        <f>M15*(1+N15)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LF</t>
        </is>
      </c>
      <c r="F16" s="5" t="n"/>
      <c r="G16" s="5" t="inlineStr">
        <is>
          <t>54</t>
        </is>
      </c>
      <c r="H16" s="5" t="inlineStr">
        <is>
          <t>1.35</t>
        </is>
      </c>
      <c r="I16" s="5">
        <f>F16*H16</f>
        <v/>
      </c>
      <c r="J16" s="5" t="inlineStr">
        <is>
          <t>0.10</t>
        </is>
      </c>
      <c r="K16" s="5" t="inlineStr">
        <is>
          <t>45</t>
        </is>
      </c>
      <c r="L16" s="5">
        <f>J16*K16</f>
        <v/>
      </c>
      <c r="M16" s="5">
        <f>I16+L16</f>
        <v/>
      </c>
      <c r="N16" s="5" t="inlineStr">
        <is>
          <t>0%</t>
        </is>
      </c>
      <c r="O16" s="5">
        <f>M16*(1+N16)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LF</t>
        </is>
      </c>
      <c r="F17" s="5" t="n"/>
      <c r="G17" s="5" t="inlineStr">
        <is>
          <t>45</t>
        </is>
      </c>
      <c r="H17" s="5" t="inlineStr">
        <is>
          <t>1.25</t>
        </is>
      </c>
      <c r="I17" s="5">
        <f>F17*H17</f>
        <v/>
      </c>
      <c r="J17" s="5" t="inlineStr">
        <is>
          <t>0.09</t>
        </is>
      </c>
      <c r="K17" s="5" t="inlineStr">
        <is>
          <t>45</t>
        </is>
      </c>
      <c r="L17" s="5">
        <f>J17*K17</f>
        <v/>
      </c>
      <c r="M17" s="5">
        <f>I17+L17</f>
        <v/>
      </c>
      <c r="N17" s="5" t="inlineStr">
        <is>
          <t>0%</t>
        </is>
      </c>
      <c r="O17" s="5">
        <f>M17*(1+N17)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LF</t>
        </is>
      </c>
      <c r="F18" s="5" t="n"/>
      <c r="G18" s="5" t="inlineStr">
        <is>
          <t>33</t>
        </is>
      </c>
      <c r="H18" s="5" t="inlineStr">
        <is>
          <t>1.15</t>
        </is>
      </c>
      <c r="I18" s="5">
        <f>F18*H18</f>
        <v/>
      </c>
      <c r="J18" s="5" t="inlineStr">
        <is>
          <t>0.08</t>
        </is>
      </c>
      <c r="K18" s="5" t="inlineStr">
        <is>
          <t>45</t>
        </is>
      </c>
      <c r="L18" s="5">
        <f>J18*K18</f>
        <v/>
      </c>
      <c r="M18" s="5">
        <f>I18+L18</f>
        <v/>
      </c>
      <c r="N18" s="5" t="inlineStr">
        <is>
          <t>0%</t>
        </is>
      </c>
      <c r="O18" s="5">
        <f>M18*(1+N18)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LF</t>
        </is>
      </c>
      <c r="F19" s="5" t="n"/>
      <c r="G19" s="5" t="inlineStr">
        <is>
          <t>35</t>
        </is>
      </c>
      <c r="H19" s="5" t="inlineStr">
        <is>
          <t>1.05</t>
        </is>
      </c>
      <c r="I19" s="5">
        <f>F19*H19</f>
        <v/>
      </c>
      <c r="J19" s="5" t="inlineStr">
        <is>
          <t>0.07</t>
        </is>
      </c>
      <c r="K19" s="5" t="inlineStr">
        <is>
          <t>45</t>
        </is>
      </c>
      <c r="L19" s="5">
        <f>J19*K19</f>
        <v/>
      </c>
      <c r="M19" s="5">
        <f>I19+L19</f>
        <v/>
      </c>
      <c r="N19" s="5" t="inlineStr">
        <is>
          <t>0%</t>
        </is>
      </c>
      <c r="O19" s="5">
        <f>M19*(1+N19)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LF</t>
        </is>
      </c>
      <c r="F20" s="5" t="n"/>
      <c r="G20" s="5" t="inlineStr">
        <is>
          <t>24</t>
        </is>
      </c>
      <c r="H20" s="5" t="inlineStr">
        <is>
          <t>0.95</t>
        </is>
      </c>
      <c r="I20" s="5">
        <f>F20*H20</f>
        <v/>
      </c>
      <c r="J20" s="5" t="inlineStr">
        <is>
          <t>0.06</t>
        </is>
      </c>
      <c r="K20" s="5" t="inlineStr">
        <is>
          <t>45</t>
        </is>
      </c>
      <c r="L20" s="5">
        <f>J20*K20</f>
        <v/>
      </c>
      <c r="M20" s="5">
        <f>I20+L20</f>
        <v/>
      </c>
      <c r="N20" s="5" t="inlineStr">
        <is>
          <t>0%</t>
        </is>
      </c>
      <c r="O20" s="5">
        <f>M20*(1+N20)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LF</t>
        </is>
      </c>
      <c r="F21" s="5" t="n"/>
      <c r="G21" s="5" t="inlineStr">
        <is>
          <t>25</t>
        </is>
      </c>
      <c r="H21" s="5" t="inlineStr">
        <is>
          <t>0.85</t>
        </is>
      </c>
      <c r="I21" s="5">
        <f>F21*H21</f>
        <v/>
      </c>
      <c r="J21" s="5" t="inlineStr">
        <is>
          <t>0.06</t>
        </is>
      </c>
      <c r="K21" s="5" t="inlineStr">
        <is>
          <t>45</t>
        </is>
      </c>
      <c r="L21" s="5">
        <f>J21*K21</f>
        <v/>
      </c>
      <c r="M21" s="5">
        <f>I21+L21</f>
        <v/>
      </c>
      <c r="N21" s="5" t="inlineStr">
        <is>
          <t>0%</t>
        </is>
      </c>
      <c r="O21" s="5">
        <f>M21*(1+N21)</f>
        <v/>
      </c>
    </row>
    <row r="22">
      <c r="A22" s="4" t="inlineStr">
        <is>
          <t>F-021</t>
        </is>
      </c>
      <c r="B22" s="4" t="inlineStr">
        <is>
          <t>HSS COLUMNS</t>
        </is>
      </c>
      <c r="C22" s="4" t="inlineStr">
        <is>
          <t>HSS 12x12x5/8</t>
        </is>
      </c>
      <c r="D22" s="4" t="inlineStr">
        <is>
          <t>A500 GrC</t>
        </is>
      </c>
      <c r="E22" s="4" t="inlineStr">
        <is>
          <t>LF</t>
        </is>
      </c>
      <c r="F22" s="4" t="n"/>
      <c r="G22" s="4" t="inlineStr">
        <is>
          <t>76.1</t>
        </is>
      </c>
      <c r="H22" s="4" t="inlineStr">
        <is>
          <t>5.25</t>
        </is>
      </c>
      <c r="I22" s="4">
        <f>F22*H22</f>
        <v/>
      </c>
      <c r="J22" s="4" t="inlineStr">
        <is>
          <t>0.45</t>
        </is>
      </c>
      <c r="K22" s="4" t="inlineStr">
        <is>
          <t>45</t>
        </is>
      </c>
      <c r="L22" s="4">
        <f>J22*K22</f>
        <v/>
      </c>
      <c r="M22" s="4">
        <f>I22+L22</f>
        <v/>
      </c>
      <c r="N22" s="4" t="inlineStr">
        <is>
          <t>0%</t>
        </is>
      </c>
      <c r="O22" s="4">
        <f>M22*(1+N22)</f>
        <v/>
      </c>
    </row>
    <row r="23">
      <c r="A23" s="5" t="inlineStr">
        <is>
          <t>F-022</t>
        </is>
      </c>
      <c r="B23" s="5" t="n"/>
      <c r="C23" s="5" t="inlineStr">
        <is>
          <t>HSS 12x12x1/2</t>
        </is>
      </c>
      <c r="D23" s="5" t="inlineStr">
        <is>
          <t>A500 GrC</t>
        </is>
      </c>
      <c r="E23" s="5" t="inlineStr">
        <is>
          <t>LF</t>
        </is>
      </c>
      <c r="F23" s="5" t="n"/>
      <c r="G23" s="5" t="inlineStr">
        <is>
          <t>62.5</t>
        </is>
      </c>
      <c r="H23" s="5" t="inlineStr">
        <is>
          <t>4.85</t>
        </is>
      </c>
      <c r="I23" s="5">
        <f>F23*H23</f>
        <v/>
      </c>
      <c r="J23" s="5" t="inlineStr">
        <is>
          <t>0.40</t>
        </is>
      </c>
      <c r="K23" s="5" t="inlineStr">
        <is>
          <t>45</t>
        </is>
      </c>
      <c r="L23" s="5">
        <f>J23*K23</f>
        <v/>
      </c>
      <c r="M23" s="5">
        <f>I23+L23</f>
        <v/>
      </c>
      <c r="N23" s="5" t="inlineStr">
        <is>
          <t>0%</t>
        </is>
      </c>
      <c r="O23" s="5">
        <f>M23*(1+N23)</f>
        <v/>
      </c>
    </row>
    <row r="24">
      <c r="A24" s="5" t="inlineStr">
        <is>
          <t>F-023</t>
        </is>
      </c>
      <c r="B24" s="5" t="n"/>
      <c r="C24" s="5" t="inlineStr">
        <is>
          <t>HSS 10x10x1/2</t>
        </is>
      </c>
      <c r="D24" s="5" t="inlineStr">
        <is>
          <t>A500 GrC</t>
        </is>
      </c>
      <c r="E24" s="5" t="inlineStr">
        <is>
          <t>LF</t>
        </is>
      </c>
      <c r="F24" s="5" t="n"/>
      <c r="G24" s="5" t="inlineStr">
        <is>
          <t>51.0</t>
        </is>
      </c>
      <c r="H24" s="5" t="inlineStr">
        <is>
          <t>4.25</t>
        </is>
      </c>
      <c r="I24" s="5">
        <f>F24*H24</f>
        <v/>
      </c>
      <c r="J24" s="5" t="inlineStr">
        <is>
          <t>0.35</t>
        </is>
      </c>
      <c r="K24" s="5" t="inlineStr">
        <is>
          <t>45</t>
        </is>
      </c>
      <c r="L24" s="5">
        <f>J24*K24</f>
        <v/>
      </c>
      <c r="M24" s="5">
        <f>I24+L24</f>
        <v/>
      </c>
      <c r="N24" s="5" t="inlineStr">
        <is>
          <t>0%</t>
        </is>
      </c>
      <c r="O24" s="5">
        <f>M24*(1+N24)</f>
        <v/>
      </c>
    </row>
    <row r="25">
      <c r="A25" s="5" t="inlineStr">
        <is>
          <t>F-024</t>
        </is>
      </c>
      <c r="B25" s="5" t="n"/>
      <c r="C25" s="5" t="inlineStr">
        <is>
          <t>HSS 10x10x3/8</t>
        </is>
      </c>
      <c r="D25" s="5" t="inlineStr">
        <is>
          <t>A500 GrC</t>
        </is>
      </c>
      <c r="E25" s="5" t="inlineStr">
        <is>
          <t>LF</t>
        </is>
      </c>
      <c r="F25" s="5" t="n"/>
      <c r="G25" s="5" t="inlineStr">
        <is>
          <t>39.4</t>
        </is>
      </c>
      <c r="H25" s="5" t="inlineStr">
        <is>
          <t>3.85</t>
        </is>
      </c>
      <c r="I25" s="5">
        <f>F25*H25</f>
        <v/>
      </c>
      <c r="J25" s="5" t="inlineStr">
        <is>
          <t>0.32</t>
        </is>
      </c>
      <c r="K25" s="5" t="inlineStr">
        <is>
          <t>45</t>
        </is>
      </c>
      <c r="L25" s="5">
        <f>J25*K25</f>
        <v/>
      </c>
      <c r="M25" s="5">
        <f>I25+L25</f>
        <v/>
      </c>
      <c r="N25" s="5" t="inlineStr">
        <is>
          <t>0%</t>
        </is>
      </c>
      <c r="O25" s="5">
        <f>M25*(1+N25)</f>
        <v/>
      </c>
    </row>
    <row r="26">
      <c r="A26" s="5" t="inlineStr">
        <is>
          <t>F-025</t>
        </is>
      </c>
      <c r="B26" s="5" t="n"/>
      <c r="C26" s="5" t="inlineStr">
        <is>
          <t>HSS 8x8x1/2</t>
        </is>
      </c>
      <c r="D26" s="5" t="inlineStr">
        <is>
          <t>A500 GrC</t>
        </is>
      </c>
      <c r="E26" s="5" t="inlineStr">
        <is>
          <t>LF</t>
        </is>
      </c>
      <c r="F26" s="5" t="n"/>
      <c r="G26" s="5" t="inlineStr">
        <is>
          <t>40.4</t>
        </is>
      </c>
      <c r="H26" s="5" t="inlineStr">
        <is>
          <t>3.65</t>
        </is>
      </c>
      <c r="I26" s="5">
        <f>F26*H26</f>
        <v/>
      </c>
      <c r="J26" s="5" t="inlineStr">
        <is>
          <t>0.30</t>
        </is>
      </c>
      <c r="K26" s="5" t="inlineStr">
        <is>
          <t>45</t>
        </is>
      </c>
      <c r="L26" s="5">
        <f>J26*K26</f>
        <v/>
      </c>
      <c r="M26" s="5">
        <f>I26+L26</f>
        <v/>
      </c>
      <c r="N26" s="5" t="inlineStr">
        <is>
          <t>0%</t>
        </is>
      </c>
      <c r="O26" s="5">
        <f>M26*(1+N26)</f>
        <v/>
      </c>
    </row>
    <row r="27">
      <c r="A27" s="5" t="inlineStr">
        <is>
          <t>F-026</t>
        </is>
      </c>
      <c r="B27" s="5" t="n"/>
      <c r="C27" s="5" t="inlineStr">
        <is>
          <t>HSS 8x8x3/8</t>
        </is>
      </c>
      <c r="D27" s="5" t="inlineStr">
        <is>
          <t>A500 GrC</t>
        </is>
      </c>
      <c r="E27" s="5" t="inlineStr">
        <is>
          <t>LF</t>
        </is>
      </c>
      <c r="F27" s="5" t="n"/>
      <c r="G27" s="5" t="inlineStr">
        <is>
          <t>31.0</t>
        </is>
      </c>
      <c r="H27" s="5" t="inlineStr">
        <is>
          <t>3.25</t>
        </is>
      </c>
      <c r="I27" s="5">
        <f>F27*H27</f>
        <v/>
      </c>
      <c r="J27" s="5" t="inlineStr">
        <is>
          <t>0.28</t>
        </is>
      </c>
      <c r="K27" s="5" t="inlineStr">
        <is>
          <t>45</t>
        </is>
      </c>
      <c r="L27" s="5">
        <f>J27*K27</f>
        <v/>
      </c>
      <c r="M27" s="5">
        <f>I27+L27</f>
        <v/>
      </c>
      <c r="N27" s="5" t="inlineStr">
        <is>
          <t>0%</t>
        </is>
      </c>
      <c r="O27" s="5">
        <f>M27*(1+N27)</f>
        <v/>
      </c>
    </row>
    <row r="28">
      <c r="A28" s="5" t="inlineStr">
        <is>
          <t>F-027</t>
        </is>
      </c>
      <c r="B28" s="5" t="n"/>
      <c r="C28" s="5" t="inlineStr">
        <is>
          <t>HSS 6x6x3/8</t>
        </is>
      </c>
      <c r="D28" s="5" t="inlineStr">
        <is>
          <t>A500 GrC</t>
        </is>
      </c>
      <c r="E28" s="5" t="inlineStr">
        <is>
          <t>LF</t>
        </is>
      </c>
      <c r="F28" s="5" t="n"/>
      <c r="G28" s="5" t="inlineStr">
        <is>
          <t>22.4</t>
        </is>
      </c>
      <c r="H28" s="5" t="inlineStr">
        <is>
          <t>2.85</t>
        </is>
      </c>
      <c r="I28" s="5">
        <f>F28*H28</f>
        <v/>
      </c>
      <c r="J28" s="5" t="inlineStr">
        <is>
          <t>0.25</t>
        </is>
      </c>
      <c r="K28" s="5" t="inlineStr">
        <is>
          <t>45</t>
        </is>
      </c>
      <c r="L28" s="5">
        <f>J28*K28</f>
        <v/>
      </c>
      <c r="M28" s="5">
        <f>I28+L28</f>
        <v/>
      </c>
      <c r="N28" s="5" t="inlineStr">
        <is>
          <t>0%</t>
        </is>
      </c>
      <c r="O28" s="5">
        <f>M28*(1+N28)</f>
        <v/>
      </c>
    </row>
    <row r="29">
      <c r="A29" s="5" t="inlineStr">
        <is>
          <t>F-028</t>
        </is>
      </c>
      <c r="B29" s="5" t="n"/>
      <c r="C29" s="5" t="inlineStr">
        <is>
          <t>HSS 6x6x1/4</t>
        </is>
      </c>
      <c r="D29" s="5" t="inlineStr">
        <is>
          <t>A500 GrC</t>
        </is>
      </c>
      <c r="E29" s="5" t="inlineStr">
        <is>
          <t>LF</t>
        </is>
      </c>
      <c r="F29" s="5" t="n"/>
      <c r="G29" s="5" t="inlineStr">
        <is>
          <t>15.6</t>
        </is>
      </c>
      <c r="H29" s="5" t="inlineStr">
        <is>
          <t>2.45</t>
        </is>
      </c>
      <c r="I29" s="5">
        <f>F29*H29</f>
        <v/>
      </c>
      <c r="J29" s="5" t="inlineStr">
        <is>
          <t>0.22</t>
        </is>
      </c>
      <c r="K29" s="5" t="inlineStr">
        <is>
          <t>45</t>
        </is>
      </c>
      <c r="L29" s="5">
        <f>J29*K29</f>
        <v/>
      </c>
      <c r="M29" s="5">
        <f>I29+L29</f>
        <v/>
      </c>
      <c r="N29" s="5" t="inlineStr">
        <is>
          <t>0%</t>
        </is>
      </c>
      <c r="O29" s="5">
        <f>M29*(1+N29)</f>
        <v/>
      </c>
    </row>
    <row r="30">
      <c r="A30" s="5" t="inlineStr">
        <is>
          <t>F-029</t>
        </is>
      </c>
      <c r="B30" s="5" t="n"/>
      <c r="C30" s="5" t="inlineStr">
        <is>
          <t>HSS 4x4x1/4</t>
        </is>
      </c>
      <c r="D30" s="5" t="inlineStr">
        <is>
          <t>A500 GrC</t>
        </is>
      </c>
      <c r="E30" s="5" t="inlineStr">
        <is>
          <t>LF</t>
        </is>
      </c>
      <c r="F30" s="5" t="n"/>
      <c r="G30" s="5" t="inlineStr">
        <is>
          <t>10.0</t>
        </is>
      </c>
      <c r="H30" s="5" t="inlineStr">
        <is>
          <t>2.05</t>
        </is>
      </c>
      <c r="I30" s="5">
        <f>F30*H30</f>
        <v/>
      </c>
      <c r="J30" s="5" t="inlineStr">
        <is>
          <t>0.20</t>
        </is>
      </c>
      <c r="K30" s="5" t="inlineStr">
        <is>
          <t>45</t>
        </is>
      </c>
      <c r="L30" s="5">
        <f>J30*K30</f>
        <v/>
      </c>
      <c r="M30" s="5">
        <f>I30+L30</f>
        <v/>
      </c>
      <c r="N30" s="5" t="inlineStr">
        <is>
          <t>0%</t>
        </is>
      </c>
      <c r="O30" s="5">
        <f>M30*(1+N30)</f>
        <v/>
      </c>
    </row>
    <row r="31">
      <c r="A31" s="4" t="inlineStr">
        <is>
          <t>F-030</t>
        </is>
      </c>
      <c r="B31" s="4" t="inlineStr">
        <is>
          <t>CONNECTION PLATES</t>
        </is>
      </c>
      <c r="C31" s="4" t="inlineStr">
        <is>
          <t>PL 1x18x18</t>
        </is>
      </c>
      <c r="D31" s="4" t="inlineStr">
        <is>
          <t>A36</t>
        </is>
      </c>
      <c r="E31" s="4" t="inlineStr">
        <is>
          <t>EA</t>
        </is>
      </c>
      <c r="F31" s="4" t="n"/>
      <c r="G31" s="4" t="inlineStr">
        <is>
          <t>115</t>
        </is>
      </c>
      <c r="H31" s="4" t="inlineStr">
        <is>
          <t>0.65</t>
        </is>
      </c>
      <c r="I31" s="4">
        <f>F31*H31</f>
        <v/>
      </c>
      <c r="J31" s="4" t="inlineStr">
        <is>
          <t>1.20</t>
        </is>
      </c>
      <c r="K31" s="4" t="inlineStr">
        <is>
          <t>45</t>
        </is>
      </c>
      <c r="L31" s="4">
        <f>J31*K31</f>
        <v/>
      </c>
      <c r="M31" s="4">
        <f>I31+L31</f>
        <v/>
      </c>
      <c r="N31" s="4" t="inlineStr">
        <is>
          <t>0%</t>
        </is>
      </c>
      <c r="O31" s="4">
        <f>M31*(1+N31)</f>
        <v/>
      </c>
    </row>
    <row r="32">
      <c r="A32" s="5" t="inlineStr">
        <is>
          <t>F-031</t>
        </is>
      </c>
      <c r="B32" s="5" t="n"/>
      <c r="C32" s="5" t="inlineStr">
        <is>
          <t>PL 3/4x16x16</t>
        </is>
      </c>
      <c r="D32" s="5" t="inlineStr">
        <is>
          <t>A36</t>
        </is>
      </c>
      <c r="E32" s="5" t="inlineStr">
        <is>
          <t>EA</t>
        </is>
      </c>
      <c r="F32" s="5" t="n"/>
      <c r="G32" s="5" t="inlineStr">
        <is>
          <t>65</t>
        </is>
      </c>
      <c r="H32" s="5" t="inlineStr">
        <is>
          <t>0.65</t>
        </is>
      </c>
      <c r="I32" s="5">
        <f>F32*H32</f>
        <v/>
      </c>
      <c r="J32" s="5" t="inlineStr">
        <is>
          <t>1.00</t>
        </is>
      </c>
      <c r="K32" s="5" t="inlineStr">
        <is>
          <t>45</t>
        </is>
      </c>
      <c r="L32" s="5">
        <f>J32*K32</f>
        <v/>
      </c>
      <c r="M32" s="5">
        <f>I32+L32</f>
        <v/>
      </c>
      <c r="N32" s="5" t="inlineStr">
        <is>
          <t>0%</t>
        </is>
      </c>
      <c r="O32" s="5">
        <f>M32*(1+N32)</f>
        <v/>
      </c>
    </row>
    <row r="33">
      <c r="A33" s="5" t="inlineStr">
        <is>
          <t>F-032</t>
        </is>
      </c>
      <c r="B33" s="5" t="n"/>
      <c r="C33" s="5" t="inlineStr">
        <is>
          <t>PL 5/8x14x14</t>
        </is>
      </c>
      <c r="D33" s="5" t="inlineStr">
        <is>
          <t>A36</t>
        </is>
      </c>
      <c r="E33" s="5" t="inlineStr">
        <is>
          <t>EA</t>
        </is>
      </c>
      <c r="F33" s="5" t="n"/>
      <c r="G33" s="5" t="inlineStr">
        <is>
          <t>47</t>
        </is>
      </c>
      <c r="H33" s="5" t="inlineStr">
        <is>
          <t>0.65</t>
        </is>
      </c>
      <c r="I33" s="5">
        <f>F33*H33</f>
        <v/>
      </c>
      <c r="J33" s="5" t="inlineStr">
        <is>
          <t>0.85</t>
        </is>
      </c>
      <c r="K33" s="5" t="inlineStr">
        <is>
          <t>45</t>
        </is>
      </c>
      <c r="L33" s="5">
        <f>J33*K33</f>
        <v/>
      </c>
      <c r="M33" s="5">
        <f>I33+L33</f>
        <v/>
      </c>
      <c r="N33" s="5" t="inlineStr">
        <is>
          <t>0%</t>
        </is>
      </c>
      <c r="O33" s="5">
        <f>M33*(1+N33)</f>
        <v/>
      </c>
    </row>
    <row r="34">
      <c r="A34" s="5" t="inlineStr">
        <is>
          <t>F-033</t>
        </is>
      </c>
      <c r="B34" s="5" t="n"/>
      <c r="C34" s="5" t="inlineStr">
        <is>
          <t>PL 1/2x12x12</t>
        </is>
      </c>
      <c r="D34" s="5" t="inlineStr">
        <is>
          <t>A36</t>
        </is>
      </c>
      <c r="E34" s="5" t="inlineStr">
        <is>
          <t>EA</t>
        </is>
      </c>
      <c r="F34" s="5" t="n"/>
      <c r="G34" s="5" t="inlineStr">
        <is>
          <t>31</t>
        </is>
      </c>
      <c r="H34" s="5" t="inlineStr">
        <is>
          <t>0.65</t>
        </is>
      </c>
      <c r="I34" s="5">
        <f>F34*H34</f>
        <v/>
      </c>
      <c r="J34" s="5" t="inlineStr">
        <is>
          <t>0.70</t>
        </is>
      </c>
      <c r="K34" s="5" t="inlineStr">
        <is>
          <t>45</t>
        </is>
      </c>
      <c r="L34" s="5">
        <f>J34*K34</f>
        <v/>
      </c>
      <c r="M34" s="5">
        <f>I34+L34</f>
        <v/>
      </c>
      <c r="N34" s="5" t="inlineStr">
        <is>
          <t>0%</t>
        </is>
      </c>
      <c r="O34" s="5">
        <f>M34*(1+N34)</f>
        <v/>
      </c>
    </row>
    <row r="35">
      <c r="A35" s="5" t="inlineStr">
        <is>
          <t>F-034</t>
        </is>
      </c>
      <c r="B35" s="5" t="n"/>
      <c r="C35" s="5" t="inlineStr">
        <is>
          <t>PL 3/8x10x10</t>
        </is>
      </c>
      <c r="D35" s="5" t="inlineStr">
        <is>
          <t>A36</t>
        </is>
      </c>
      <c r="E35" s="5" t="inlineStr">
        <is>
          <t>EA</t>
        </is>
      </c>
      <c r="F35" s="5" t="n"/>
      <c r="G35" s="5" t="inlineStr">
        <is>
          <t>19</t>
        </is>
      </c>
      <c r="H35" s="5" t="inlineStr">
        <is>
          <t>0.65</t>
        </is>
      </c>
      <c r="I35" s="5">
        <f>F35*H35</f>
        <v/>
      </c>
      <c r="J35" s="5" t="inlineStr">
        <is>
          <t>0.55</t>
        </is>
      </c>
      <c r="K35" s="5" t="inlineStr">
        <is>
          <t>45</t>
        </is>
      </c>
      <c r="L35" s="5">
        <f>J35*K35</f>
        <v/>
      </c>
      <c r="M35" s="5">
        <f>I35+L35</f>
        <v/>
      </c>
      <c r="N35" s="5" t="inlineStr">
        <is>
          <t>0%</t>
        </is>
      </c>
      <c r="O35" s="5">
        <f>M35*(1+N35)</f>
        <v/>
      </c>
    </row>
    <row r="36">
      <c r="A36" s="5" t="inlineStr">
        <is>
          <t>F-035</t>
        </is>
      </c>
      <c r="B36" s="5" t="n"/>
      <c r="C36" s="5" t="inlineStr">
        <is>
          <t>Gusset Plates (various)</t>
        </is>
      </c>
      <c r="D36" s="5" t="inlineStr">
        <is>
          <t>A36</t>
        </is>
      </c>
      <c r="E36" s="5" t="inlineStr">
        <is>
          <t>LB</t>
        </is>
      </c>
      <c r="F36" s="5" t="n"/>
      <c r="G36" s="5" t="inlineStr">
        <is>
          <t>1</t>
        </is>
      </c>
      <c r="H36" s="5" t="inlineStr">
        <is>
          <t>0.65</t>
        </is>
      </c>
      <c r="I36" s="5">
        <f>F36*H36</f>
        <v/>
      </c>
      <c r="J36" s="5" t="inlineStr">
        <is>
          <t>0.015</t>
        </is>
      </c>
      <c r="K36" s="5" t="inlineStr">
        <is>
          <t>45</t>
        </is>
      </c>
      <c r="L36" s="5">
        <f>J36*K36</f>
        <v/>
      </c>
      <c r="M36" s="5">
        <f>I36+L36</f>
        <v/>
      </c>
      <c r="N36" s="5" t="inlineStr">
        <is>
          <t>0%</t>
        </is>
      </c>
      <c r="O36" s="5">
        <f>M36*(1+N36)</f>
        <v/>
      </c>
    </row>
    <row r="37">
      <c r="A37" s="4" t="inlineStr">
        <is>
          <t>F-036</t>
        </is>
      </c>
      <c r="B37" s="4" t="inlineStr">
        <is>
          <t>MISCELLANEOUS</t>
        </is>
      </c>
      <c r="C37" s="4" t="inlineStr">
        <is>
          <t>L4x4x1/4 Angles</t>
        </is>
      </c>
      <c r="D37" s="4" t="inlineStr">
        <is>
          <t>A36</t>
        </is>
      </c>
      <c r="E37" s="4" t="inlineStr">
        <is>
          <t>LF</t>
        </is>
      </c>
      <c r="F37" s="4" t="n"/>
      <c r="G37" s="4" t="inlineStr">
        <is>
          <t>6.6</t>
        </is>
      </c>
      <c r="H37" s="4" t="inlineStr">
        <is>
          <t>1.15</t>
        </is>
      </c>
      <c r="I37" s="4">
        <f>F37*H37</f>
        <v/>
      </c>
      <c r="J37" s="4" t="inlineStr">
        <is>
          <t>0.08</t>
        </is>
      </c>
      <c r="K37" s="4" t="inlineStr">
        <is>
          <t>45</t>
        </is>
      </c>
      <c r="L37" s="4">
        <f>J37*K37</f>
        <v/>
      </c>
      <c r="M37" s="4">
        <f>I37+L37</f>
        <v/>
      </c>
      <c r="N37" s="4" t="inlineStr">
        <is>
          <t>0%</t>
        </is>
      </c>
      <c r="O37" s="4">
        <f>M37*(1+N37)</f>
        <v/>
      </c>
    </row>
    <row r="38">
      <c r="A38" s="5" t="inlineStr">
        <is>
          <t>F-037</t>
        </is>
      </c>
      <c r="B38" s="5" t="n"/>
      <c r="C38" s="5" t="inlineStr">
        <is>
          <t>L3x3x1/4 Angles</t>
        </is>
      </c>
      <c r="D38" s="5" t="inlineStr">
        <is>
          <t>A36</t>
        </is>
      </c>
      <c r="E38" s="5" t="inlineStr">
        <is>
          <t>LF</t>
        </is>
      </c>
      <c r="F38" s="5" t="n"/>
      <c r="G38" s="5" t="inlineStr">
        <is>
          <t>4.9</t>
        </is>
      </c>
      <c r="H38" s="5" t="inlineStr">
        <is>
          <t>0.95</t>
        </is>
      </c>
      <c r="I38" s="5">
        <f>F38*H38</f>
        <v/>
      </c>
      <c r="J38" s="5" t="inlineStr">
        <is>
          <t>0.07</t>
        </is>
      </c>
      <c r="K38" s="5" t="inlineStr">
        <is>
          <t>45</t>
        </is>
      </c>
      <c r="L38" s="5">
        <f>J38*K38</f>
        <v/>
      </c>
      <c r="M38" s="5">
        <f>I38+L38</f>
        <v/>
      </c>
      <c r="N38" s="5" t="inlineStr">
        <is>
          <t>0%</t>
        </is>
      </c>
      <c r="O38" s="5">
        <f>M38*(1+N38)</f>
        <v/>
      </c>
    </row>
    <row r="39">
      <c r="A39" s="5" t="inlineStr">
        <is>
          <t>F-038</t>
        </is>
      </c>
      <c r="B39" s="5" t="n"/>
      <c r="C39" s="5" t="inlineStr">
        <is>
          <t>C12x30 Channels</t>
        </is>
      </c>
      <c r="D39" s="5" t="inlineStr">
        <is>
          <t>A36</t>
        </is>
      </c>
      <c r="E39" s="5" t="inlineStr">
        <is>
          <t>LF</t>
        </is>
      </c>
      <c r="F39" s="5" t="n"/>
      <c r="G39" s="5" t="inlineStr">
        <is>
          <t>30</t>
        </is>
      </c>
      <c r="H39" s="5" t="inlineStr">
        <is>
          <t>1.85</t>
        </is>
      </c>
      <c r="I39" s="5">
        <f>F39*H39</f>
        <v/>
      </c>
      <c r="J39" s="5" t="inlineStr">
        <is>
          <t>0.15</t>
        </is>
      </c>
      <c r="K39" s="5" t="inlineStr">
        <is>
          <t>45</t>
        </is>
      </c>
      <c r="L39" s="5">
        <f>J39*K39</f>
        <v/>
      </c>
      <c r="M39" s="5">
        <f>I39+L39</f>
        <v/>
      </c>
      <c r="N39" s="5" t="inlineStr">
        <is>
          <t>0%</t>
        </is>
      </c>
      <c r="O39" s="5">
        <f>M39*(1+N39)</f>
        <v/>
      </c>
    </row>
    <row r="40">
      <c r="A40" s="5" t="inlineStr">
        <is>
          <t>F-039</t>
        </is>
      </c>
      <c r="B40" s="5" t="n"/>
      <c r="C40" s="5" t="inlineStr">
        <is>
          <t>C10x20 Channels</t>
        </is>
      </c>
      <c r="D40" s="5" t="inlineStr">
        <is>
          <t>A36</t>
        </is>
      </c>
      <c r="E40" s="5" t="inlineStr">
        <is>
          <t>LF</t>
        </is>
      </c>
      <c r="F40" s="5" t="n"/>
      <c r="G40" s="5" t="inlineStr">
        <is>
          <t>20</t>
        </is>
      </c>
      <c r="H40" s="5" t="inlineStr">
        <is>
          <t>1.45</t>
        </is>
      </c>
      <c r="I40" s="5">
        <f>F40*H40</f>
        <v/>
      </c>
      <c r="J40" s="5" t="inlineStr">
        <is>
          <t>0.12</t>
        </is>
      </c>
      <c r="K40" s="5" t="inlineStr">
        <is>
          <t>45</t>
        </is>
      </c>
      <c r="L40" s="5">
        <f>J40*K40</f>
        <v/>
      </c>
      <c r="M40" s="5">
        <f>I40+L40</f>
        <v/>
      </c>
      <c r="N40" s="5" t="inlineStr">
        <is>
          <t>0%</t>
        </is>
      </c>
      <c r="O40" s="5">
        <f>M40*(1+N40)</f>
        <v/>
      </c>
    </row>
    <row r="41">
      <c r="A41" s="5" t="inlineStr">
        <is>
          <t>F-040</t>
        </is>
      </c>
      <c r="B41" s="5" t="n"/>
      <c r="C41" s="5" t="inlineStr">
        <is>
          <t>Flat Bar (various)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1</t>
        </is>
      </c>
      <c r="H41" s="5" t="inlineStr">
        <is>
          <t>0.65</t>
        </is>
      </c>
      <c r="I41" s="5">
        <f>F41*H41</f>
        <v/>
      </c>
      <c r="J41" s="5" t="inlineStr">
        <is>
          <t>0.012</t>
        </is>
      </c>
      <c r="K41" s="5" t="inlineStr">
        <is>
          <t>45</t>
        </is>
      </c>
      <c r="L41" s="5">
        <f>J41*K41</f>
        <v/>
      </c>
      <c r="M41" s="5">
        <f>I41+L41</f>
        <v/>
      </c>
      <c r="N41" s="5" t="inlineStr">
        <is>
          <t>0%</t>
        </is>
      </c>
      <c r="O41" s="5">
        <f>M41*(1+N41)</f>
        <v/>
      </c>
    </row>
    <row r="42">
      <c r="A42" s="4" t="inlineStr">
        <is>
          <t>F-041</t>
        </is>
      </c>
      <c r="B42" s="4" t="inlineStr">
        <is>
          <t>STEEL DECK</t>
        </is>
      </c>
      <c r="C42" s="4" t="inlineStr">
        <is>
          <t>B Roof Deck 22ga</t>
        </is>
      </c>
      <c r="D42" s="4" t="inlineStr">
        <is>
          <t>G60 Galv</t>
        </is>
      </c>
      <c r="E42" s="4" t="inlineStr">
        <is>
          <t>SF</t>
        </is>
      </c>
      <c r="F42" s="4" t="n"/>
      <c r="G42" s="4" t="inlineStr">
        <is>
          <t>1.9</t>
        </is>
      </c>
      <c r="H42" s="4" t="inlineStr">
        <is>
          <t>0.95</t>
        </is>
      </c>
      <c r="I42" s="4">
        <f>F42*H42</f>
        <v/>
      </c>
      <c r="J42" s="4" t="inlineStr">
        <is>
          <t>0.015</t>
        </is>
      </c>
      <c r="K42" s="4" t="inlineStr">
        <is>
          <t>45</t>
        </is>
      </c>
      <c r="L42" s="4">
        <f>J42*K42</f>
        <v/>
      </c>
      <c r="M42" s="4">
        <f>I42+L42</f>
        <v/>
      </c>
      <c r="N42" s="4" t="inlineStr">
        <is>
          <t>0%</t>
        </is>
      </c>
      <c r="O42" s="4">
        <f>M42*(1+N42)</f>
        <v/>
      </c>
    </row>
    <row r="43">
      <c r="A43" s="5" t="inlineStr">
        <is>
          <t>F-042</t>
        </is>
      </c>
      <c r="B43" s="5" t="n"/>
      <c r="C43" s="5" t="inlineStr">
        <is>
          <t>B Roof Deck 20ga</t>
        </is>
      </c>
      <c r="D43" s="5" t="inlineStr">
        <is>
          <t>G60 Galv</t>
        </is>
      </c>
      <c r="E43" s="5" t="inlineStr">
        <is>
          <t>SF</t>
        </is>
      </c>
      <c r="F43" s="5" t="n"/>
      <c r="G43" s="5" t="inlineStr">
        <is>
          <t>2.1</t>
        </is>
      </c>
      <c r="H43" s="5" t="inlineStr">
        <is>
          <t>1.05</t>
        </is>
      </c>
      <c r="I43" s="5">
        <f>F43*H43</f>
        <v/>
      </c>
      <c r="J43" s="5" t="inlineStr">
        <is>
          <t>0.018</t>
        </is>
      </c>
      <c r="K43" s="5" t="inlineStr">
        <is>
          <t>45</t>
        </is>
      </c>
      <c r="L43" s="5">
        <f>J43*K43</f>
        <v/>
      </c>
      <c r="M43" s="5">
        <f>I43+L43</f>
        <v/>
      </c>
      <c r="N43" s="5" t="inlineStr">
        <is>
          <t>0%</t>
        </is>
      </c>
      <c r="O43" s="5">
        <f>M43*(1+N43)</f>
        <v/>
      </c>
    </row>
    <row r="44">
      <c r="A44" s="5" t="inlineStr">
        <is>
          <t>F-043</t>
        </is>
      </c>
      <c r="B44" s="5" t="n"/>
      <c r="C44" s="5" t="inlineStr">
        <is>
          <t>B Roof Deck 18ga</t>
        </is>
      </c>
      <c r="D44" s="5" t="inlineStr">
        <is>
          <t>G60 Galv</t>
        </is>
      </c>
      <c r="E44" s="5" t="inlineStr">
        <is>
          <t>SF</t>
        </is>
      </c>
      <c r="F44" s="5" t="n"/>
      <c r="G44" s="5" t="inlineStr">
        <is>
          <t>2.5</t>
        </is>
      </c>
      <c r="H44" s="5" t="inlineStr">
        <is>
          <t>1.25</t>
        </is>
      </c>
      <c r="I44" s="5">
        <f>F44*H44</f>
        <v/>
      </c>
      <c r="J44" s="5" t="inlineStr">
        <is>
          <t>0.022</t>
        </is>
      </c>
      <c r="K44" s="5" t="inlineStr">
        <is>
          <t>45</t>
        </is>
      </c>
      <c r="L44" s="5">
        <f>J44*K44</f>
        <v/>
      </c>
      <c r="M44" s="5">
        <f>I44+L44</f>
        <v/>
      </c>
      <c r="N44" s="5" t="inlineStr">
        <is>
          <t>0%</t>
        </is>
      </c>
      <c r="O44" s="5">
        <f>M44*(1+N44)</f>
        <v/>
      </c>
    </row>
    <row r="45">
      <c r="A45" s="5" t="inlineStr">
        <is>
          <t>F-044</t>
        </is>
      </c>
      <c r="B45" s="5" t="n"/>
      <c r="C45" s="5" t="inlineStr">
        <is>
          <t>N Floor Deck 22ga</t>
        </is>
      </c>
      <c r="D45" s="5" t="inlineStr">
        <is>
          <t>G60 Galv</t>
        </is>
      </c>
      <c r="E45" s="5" t="inlineStr">
        <is>
          <t>SF</t>
        </is>
      </c>
      <c r="F45" s="5" t="n"/>
      <c r="G45" s="5" t="inlineStr">
        <is>
          <t>2.0</t>
        </is>
      </c>
      <c r="H45" s="5" t="inlineStr">
        <is>
          <t>1.15</t>
        </is>
      </c>
      <c r="I45" s="5">
        <f>F45*H45</f>
        <v/>
      </c>
      <c r="J45" s="5" t="inlineStr">
        <is>
          <t>0.020</t>
        </is>
      </c>
      <c r="K45" s="5" t="inlineStr">
        <is>
          <t>45</t>
        </is>
      </c>
      <c r="L45" s="5">
        <f>J45*K45</f>
        <v/>
      </c>
      <c r="M45" s="5">
        <f>I45+L45</f>
        <v/>
      </c>
      <c r="N45" s="5" t="inlineStr">
        <is>
          <t>0%</t>
        </is>
      </c>
      <c r="O45" s="5">
        <f>M45*(1+N45)</f>
        <v/>
      </c>
    </row>
    <row r="46">
      <c r="A46" s="5" t="inlineStr">
        <is>
          <t>F-045</t>
        </is>
      </c>
      <c r="B46" s="5" t="n"/>
      <c r="C46" s="5" t="inlineStr">
        <is>
          <t>N Floor Deck 20ga</t>
        </is>
      </c>
      <c r="D46" s="5" t="inlineStr">
        <is>
          <t>G60 Galv</t>
        </is>
      </c>
      <c r="E46" s="5" t="inlineStr">
        <is>
          <t>SF</t>
        </is>
      </c>
      <c r="F46" s="5" t="n"/>
      <c r="G46" s="5" t="inlineStr">
        <is>
          <t>2.3</t>
        </is>
      </c>
      <c r="H46" s="5" t="inlineStr">
        <is>
          <t>1.35</t>
        </is>
      </c>
      <c r="I46" s="5">
        <f>F46*H46</f>
        <v/>
      </c>
      <c r="J46" s="5" t="inlineStr">
        <is>
          <t>0.025</t>
        </is>
      </c>
      <c r="K46" s="5" t="inlineStr">
        <is>
          <t>45</t>
        </is>
      </c>
      <c r="L46" s="5">
        <f>J46*K46</f>
        <v/>
      </c>
      <c r="M46" s="5">
        <f>I46+L46</f>
        <v/>
      </c>
      <c r="N46" s="5" t="inlineStr">
        <is>
          <t>0%</t>
        </is>
      </c>
      <c r="O46" s="5">
        <f>M46*(1+N46)</f>
        <v/>
      </c>
    </row>
    <row r="47">
      <c r="A47" s="5" t="inlineStr">
        <is>
          <t>F-046</t>
        </is>
      </c>
      <c r="B47" s="5" t="n"/>
      <c r="C47" s="5" t="inlineStr">
        <is>
          <t>N Floor Deck 18ga</t>
        </is>
      </c>
      <c r="D47" s="5" t="inlineStr">
        <is>
          <t>G60 Galv</t>
        </is>
      </c>
      <c r="E47" s="5" t="inlineStr">
        <is>
          <t>SF</t>
        </is>
      </c>
      <c r="F47" s="5" t="n"/>
      <c r="G47" s="5" t="inlineStr">
        <is>
          <t>2.8</t>
        </is>
      </c>
      <c r="H47" s="5" t="inlineStr">
        <is>
          <t>1.65</t>
        </is>
      </c>
      <c r="I47" s="5">
        <f>F47*H47</f>
        <v/>
      </c>
      <c r="J47" s="5" t="inlineStr">
        <is>
          <t>0.030</t>
        </is>
      </c>
      <c r="K47" s="5" t="inlineStr">
        <is>
          <t>45</t>
        </is>
      </c>
      <c r="L47" s="5">
        <f>J47*K47</f>
        <v/>
      </c>
      <c r="M47" s="5">
        <f>I47+L47</f>
        <v/>
      </c>
      <c r="N47" s="5" t="inlineStr">
        <is>
          <t>0%</t>
        </is>
      </c>
      <c r="O47" s="5">
        <f>M47*(1+N47)</f>
        <v/>
      </c>
    </row>
    <row r="48">
      <c r="A48" s="5" t="inlineStr">
        <is>
          <t>F-047</t>
        </is>
      </c>
      <c r="B48" s="5" t="n"/>
      <c r="C48" s="5" t="inlineStr">
        <is>
          <t>Cellular Deck (various)</t>
        </is>
      </c>
      <c r="D48" s="5" t="inlineStr">
        <is>
          <t>G60 Galv</t>
        </is>
      </c>
      <c r="E48" s="5" t="inlineStr">
        <is>
          <t>SF</t>
        </is>
      </c>
      <c r="F48" s="5" t="n"/>
      <c r="G48" s="5" t="inlineStr">
        <is>
          <t>3.5</t>
        </is>
      </c>
      <c r="H48" s="5" t="inlineStr">
        <is>
          <t>2.25</t>
        </is>
      </c>
      <c r="I48" s="5">
        <f>F48*H48</f>
        <v/>
      </c>
      <c r="J48" s="5" t="inlineStr">
        <is>
          <t>0.035</t>
        </is>
      </c>
      <c r="K48" s="5" t="inlineStr">
        <is>
          <t>45</t>
        </is>
      </c>
      <c r="L48" s="5">
        <f>J48*K48</f>
        <v/>
      </c>
      <c r="M48" s="5">
        <f>I48+L48</f>
        <v/>
      </c>
      <c r="N48" s="5" t="inlineStr">
        <is>
          <t>0%</t>
        </is>
      </c>
      <c r="O48" s="5">
        <f>M48*(1+N48)</f>
        <v/>
      </c>
    </row>
    <row r="49">
      <c r="A49" s="5" t="inlineStr">
        <is>
          <t>F-048</t>
        </is>
      </c>
      <c r="B49" s="5" t="n"/>
      <c r="C49" s="5" t="inlineStr">
        <is>
          <t>Deck Accessories</t>
        </is>
      </c>
      <c r="D49" s="5" t="inlineStr">
        <is>
          <t>G60 Galv</t>
        </is>
      </c>
      <c r="E49" s="5" t="inlineStr">
        <is>
          <t>SF</t>
        </is>
      </c>
      <c r="F49" s="5" t="n"/>
      <c r="G49" s="5" t="inlineStr">
        <is>
          <t>0.5</t>
        </is>
      </c>
      <c r="H49" s="5" t="inlineStr">
        <is>
          <t>0.35</t>
        </is>
      </c>
      <c r="I49" s="5">
        <f>F49*H49</f>
        <v/>
      </c>
      <c r="J49" s="5" t="inlineStr">
        <is>
          <t>0.008</t>
        </is>
      </c>
      <c r="K49" s="5" t="inlineStr">
        <is>
          <t>45</t>
        </is>
      </c>
      <c r="L49" s="5">
        <f>J49*K49</f>
        <v/>
      </c>
      <c r="M49" s="5">
        <f>I49+L49</f>
        <v/>
      </c>
      <c r="N49" s="5" t="inlineStr">
        <is>
          <t>0%</t>
        </is>
      </c>
      <c r="O49" s="5">
        <f>M49*(1+N49)</f>
        <v/>
      </c>
    </row>
    <row r="50">
      <c r="A50" s="4" t="inlineStr">
        <is>
          <t>F-049</t>
        </is>
      </c>
      <c r="B50" s="4" t="inlineStr">
        <is>
          <t>FASTENERS</t>
        </is>
      </c>
      <c r="C50" s="4" t="inlineStr">
        <is>
          <t>A325 3/4x3 Bolts</t>
        </is>
      </c>
      <c r="D50" s="4" t="inlineStr">
        <is>
          <t>A325 Type 1</t>
        </is>
      </c>
      <c r="E50" s="4" t="inlineStr">
        <is>
          <t>EA</t>
        </is>
      </c>
      <c r="F50" s="4" t="n"/>
      <c r="G50" s="4" t="inlineStr">
        <is>
          <t>0.8</t>
        </is>
      </c>
      <c r="H50" s="4" t="inlineStr">
        <is>
          <t>2.85</t>
        </is>
      </c>
      <c r="I50" s="4">
        <f>F50*H50</f>
        <v/>
      </c>
      <c r="J50" s="4" t="inlineStr">
        <is>
          <t>0.03</t>
        </is>
      </c>
      <c r="K50" s="4" t="inlineStr">
        <is>
          <t>45</t>
        </is>
      </c>
      <c r="L50" s="4">
        <f>J50*K50</f>
        <v/>
      </c>
      <c r="M50" s="4">
        <f>I50+L50</f>
        <v/>
      </c>
      <c r="N50" s="4" t="inlineStr">
        <is>
          <t>0%</t>
        </is>
      </c>
      <c r="O50" s="4">
        <f>M50*(1+N50)</f>
        <v/>
      </c>
    </row>
    <row r="51">
      <c r="A51" s="5" t="inlineStr">
        <is>
          <t>F-050</t>
        </is>
      </c>
      <c r="B51" s="5" t="n"/>
      <c r="C51" s="5" t="inlineStr">
        <is>
          <t>A325 7/8x4 Bolts</t>
        </is>
      </c>
      <c r="D51" s="5" t="inlineStr">
        <is>
          <t>A325 Type 1</t>
        </is>
      </c>
      <c r="E51" s="5" t="inlineStr">
        <is>
          <t>EA</t>
        </is>
      </c>
      <c r="F51" s="5" t="n"/>
      <c r="G51" s="5" t="inlineStr">
        <is>
          <t>1.4</t>
        </is>
      </c>
      <c r="H51" s="5" t="inlineStr">
        <is>
          <t>4.15</t>
        </is>
      </c>
      <c r="I51" s="5">
        <f>F51*H51</f>
        <v/>
      </c>
      <c r="J51" s="5" t="inlineStr">
        <is>
          <t>0.04</t>
        </is>
      </c>
      <c r="K51" s="5" t="inlineStr">
        <is>
          <t>45</t>
        </is>
      </c>
      <c r="L51" s="5">
        <f>J51*K51</f>
        <v/>
      </c>
      <c r="M51" s="5">
        <f>I51+L51</f>
        <v/>
      </c>
      <c r="N51" s="5" t="inlineStr">
        <is>
          <t>0%</t>
        </is>
      </c>
      <c r="O51" s="5">
        <f>M51*(1+N51)</f>
        <v/>
      </c>
    </row>
    <row r="52">
      <c r="A52" s="5" t="inlineStr">
        <is>
          <t>F-051</t>
        </is>
      </c>
      <c r="B52" s="5" t="n"/>
      <c r="C52" s="5" t="inlineStr">
        <is>
          <t>A325 1x5 Bolts</t>
        </is>
      </c>
      <c r="D52" s="5" t="inlineStr">
        <is>
          <t>A325 Type 1</t>
        </is>
      </c>
      <c r="E52" s="5" t="inlineStr">
        <is>
          <t>EA</t>
        </is>
      </c>
      <c r="F52" s="5" t="n"/>
      <c r="G52" s="5" t="inlineStr">
        <is>
          <t>2.2</t>
        </is>
      </c>
      <c r="H52" s="5" t="inlineStr">
        <is>
          <t>6.50</t>
        </is>
      </c>
      <c r="I52" s="5">
        <f>F52*H52</f>
        <v/>
      </c>
      <c r="J52" s="5" t="inlineStr">
        <is>
          <t>0.06</t>
        </is>
      </c>
      <c r="K52" s="5" t="inlineStr">
        <is>
          <t>45</t>
        </is>
      </c>
      <c r="L52" s="5">
        <f>J52*K52</f>
        <v/>
      </c>
      <c r="M52" s="5">
        <f>I52+L52</f>
        <v/>
      </c>
      <c r="N52" s="5" t="inlineStr">
        <is>
          <t>0%</t>
        </is>
      </c>
      <c r="O52" s="5">
        <f>M52*(1+N52)</f>
        <v/>
      </c>
    </row>
    <row r="53">
      <c r="A53" s="5" t="inlineStr">
        <is>
          <t>F-052</t>
        </is>
      </c>
      <c r="B53" s="5" t="n"/>
      <c r="C53" s="5" t="inlineStr">
        <is>
          <t>A490 1x5 Bolts</t>
        </is>
      </c>
      <c r="D53" s="5" t="inlineStr">
        <is>
          <t>A490 Type 1</t>
        </is>
      </c>
      <c r="E53" s="5" t="inlineStr">
        <is>
          <t>EA</t>
        </is>
      </c>
      <c r="F53" s="5" t="n"/>
      <c r="G53" s="5" t="inlineStr">
        <is>
          <t>2.2</t>
        </is>
      </c>
      <c r="H53" s="5" t="inlineStr">
        <is>
          <t>9.25</t>
        </is>
      </c>
      <c r="I53" s="5">
        <f>F53*H53</f>
        <v/>
      </c>
      <c r="J53" s="5" t="inlineStr">
        <is>
          <t>0.06</t>
        </is>
      </c>
      <c r="K53" s="5" t="inlineStr">
        <is>
          <t>45</t>
        </is>
      </c>
      <c r="L53" s="5">
        <f>J53*K53</f>
        <v/>
      </c>
      <c r="M53" s="5">
        <f>I53+L53</f>
        <v/>
      </c>
      <c r="N53" s="5" t="inlineStr">
        <is>
          <t>0%</t>
        </is>
      </c>
      <c r="O53" s="5">
        <f>M53*(1+N53)</f>
        <v/>
      </c>
    </row>
    <row r="54">
      <c r="A54" s="5" t="inlineStr">
        <is>
          <t>F-053</t>
        </is>
      </c>
      <c r="B54" s="5" t="n"/>
      <c r="C54" s="5" t="inlineStr">
        <is>
          <t>Shear Studs 3/4x4-1/2</t>
        </is>
      </c>
      <c r="D54" s="5" t="inlineStr">
        <is>
          <t>AWS D1.1</t>
        </is>
      </c>
      <c r="E54" s="5" t="inlineStr">
        <is>
          <t>EA</t>
        </is>
      </c>
      <c r="F54" s="5" t="n"/>
      <c r="G54" s="5" t="inlineStr">
        <is>
          <t>1.2</t>
        </is>
      </c>
      <c r="H54" s="5" t="inlineStr">
        <is>
          <t>3.50</t>
        </is>
      </c>
      <c r="I54" s="5">
        <f>F54*H54</f>
        <v/>
      </c>
      <c r="J54" s="5" t="inlineStr">
        <is>
          <t>0.08</t>
        </is>
      </c>
      <c r="K54" s="5" t="inlineStr">
        <is>
          <t>45</t>
        </is>
      </c>
      <c r="L54" s="5">
        <f>J54*K54</f>
        <v/>
      </c>
      <c r="M54" s="5">
        <f>I54+L54</f>
        <v/>
      </c>
      <c r="N54" s="5" t="inlineStr">
        <is>
          <t>0%</t>
        </is>
      </c>
      <c r="O54" s="5">
        <f>M54*(1+N54)</f>
        <v/>
      </c>
    </row>
    <row r="55">
      <c r="A55" s="5" t="inlineStr">
        <is>
          <t>F-054</t>
        </is>
      </c>
      <c r="B55" s="5" t="n"/>
      <c r="C55" s="5" t="inlineStr">
        <is>
          <t>Shear Studs 7/8x6</t>
        </is>
      </c>
      <c r="D55" s="5" t="inlineStr">
        <is>
          <t>AWS D1.1</t>
        </is>
      </c>
      <c r="E55" s="5" t="inlineStr">
        <is>
          <t>EA</t>
        </is>
      </c>
      <c r="F55" s="5" t="n"/>
      <c r="G55" s="5" t="inlineStr">
        <is>
          <t>2.1</t>
        </is>
      </c>
      <c r="H55" s="5" t="inlineStr">
        <is>
          <t>5.25</t>
        </is>
      </c>
      <c r="I55" s="5">
        <f>F55*H55</f>
        <v/>
      </c>
      <c r="J55" s="5" t="inlineStr">
        <is>
          <t>0.12</t>
        </is>
      </c>
      <c r="K55" s="5" t="inlineStr">
        <is>
          <t>45</t>
        </is>
      </c>
      <c r="L55" s="5">
        <f>J55*K55</f>
        <v/>
      </c>
      <c r="M55" s="5">
        <f>I55+L55</f>
        <v/>
      </c>
      <c r="N55" s="5" t="inlineStr">
        <is>
          <t>0%</t>
        </is>
      </c>
      <c r="O55" s="5">
        <f>M55*(1+N55)</f>
        <v/>
      </c>
    </row>
    <row r="56">
      <c r="A56" s="5" t="inlineStr">
        <is>
          <t>F-055</t>
        </is>
      </c>
      <c r="B56" s="5" t="n"/>
      <c r="C56" s="5" t="inlineStr">
        <is>
          <t>Anchor Bolts 3/4x12</t>
        </is>
      </c>
      <c r="D56" s="5" t="inlineStr">
        <is>
          <t>F1554 Gr36</t>
        </is>
      </c>
      <c r="E56" s="5" t="inlineStr">
        <is>
          <t>EA</t>
        </is>
      </c>
      <c r="F56" s="5" t="n"/>
      <c r="G56" s="5" t="inlineStr">
        <is>
          <t>2.5</t>
        </is>
      </c>
      <c r="H56" s="5" t="inlineStr">
        <is>
          <t>4.25</t>
        </is>
      </c>
      <c r="I56" s="5">
        <f>F56*H56</f>
        <v/>
      </c>
      <c r="J56" s="5" t="inlineStr">
        <is>
          <t>0.05</t>
        </is>
      </c>
      <c r="K56" s="5" t="inlineStr">
        <is>
          <t>45</t>
        </is>
      </c>
      <c r="L56" s="5">
        <f>J56*K56</f>
        <v/>
      </c>
      <c r="M56" s="5">
        <f>I56+L56</f>
        <v/>
      </c>
      <c r="N56" s="5" t="inlineStr">
        <is>
          <t>0%</t>
        </is>
      </c>
      <c r="O56" s="5">
        <f>M56*(1+N56)</f>
        <v/>
      </c>
    </row>
    <row r="57">
      <c r="A57" s="5" t="inlineStr">
        <is>
          <t>F-056</t>
        </is>
      </c>
      <c r="B57" s="5" t="n"/>
      <c r="C57" s="5" t="inlineStr">
        <is>
          <t>Anchor Bolts 1x18</t>
        </is>
      </c>
      <c r="D57" s="5" t="inlineStr">
        <is>
          <t>F1554 Gr36</t>
        </is>
      </c>
      <c r="E57" s="5" t="inlineStr">
        <is>
          <t>EA</t>
        </is>
      </c>
      <c r="F57" s="5" t="n"/>
      <c r="G57" s="5" t="inlineStr">
        <is>
          <t>5.8</t>
        </is>
      </c>
      <c r="H57" s="5" t="inlineStr">
        <is>
          <t>7.50</t>
        </is>
      </c>
      <c r="I57" s="5">
        <f>F57*H57</f>
        <v/>
      </c>
      <c r="J57" s="5" t="inlineStr">
        <is>
          <t>0.08</t>
        </is>
      </c>
      <c r="K57" s="5" t="inlineStr">
        <is>
          <t>45</t>
        </is>
      </c>
      <c r="L57" s="5">
        <f>J57*K57</f>
        <v/>
      </c>
      <c r="M57" s="5">
        <f>I57+L57</f>
        <v/>
      </c>
      <c r="N57" s="5" t="inlineStr">
        <is>
          <t>0%</t>
        </is>
      </c>
      <c r="O57" s="5">
        <f>M57*(1+N57)</f>
        <v/>
      </c>
    </row>
    <row r="58">
      <c r="A58" s="5" t="inlineStr">
        <is>
          <t>F-057</t>
        </is>
      </c>
      <c r="B58" s="5" t="n"/>
      <c r="C58" s="5" t="inlineStr">
        <is>
          <t>Anchor Bolts 1-1/4x24</t>
        </is>
      </c>
      <c r="D58" s="5" t="inlineStr">
        <is>
          <t>F1554 Gr36</t>
        </is>
      </c>
      <c r="E58" s="5" t="inlineStr">
        <is>
          <t>EA</t>
        </is>
      </c>
      <c r="F58" s="5" t="n"/>
      <c r="G58" s="5" t="inlineStr">
        <is>
          <t>10.2</t>
        </is>
      </c>
      <c r="H58" s="5" t="inlineStr">
        <is>
          <t>12.00</t>
        </is>
      </c>
      <c r="I58" s="5">
        <f>F58*H58</f>
        <v/>
      </c>
      <c r="J58" s="5" t="inlineStr">
        <is>
          <t>0.12</t>
        </is>
      </c>
      <c r="K58" s="5" t="inlineStr">
        <is>
          <t>45</t>
        </is>
      </c>
      <c r="L58" s="5">
        <f>J58*K58</f>
        <v/>
      </c>
      <c r="M58" s="5">
        <f>I58+L58</f>
        <v/>
      </c>
      <c r="N58" s="5" t="inlineStr">
        <is>
          <t>0%</t>
        </is>
      </c>
      <c r="O58" s="5">
        <f>M58*(1+N58)</f>
        <v/>
      </c>
    </row>
    <row r="59">
      <c r="A59" s="5" t="inlineStr">
        <is>
          <t>F-058</t>
        </is>
      </c>
      <c r="B59" s="5" t="n"/>
      <c r="C59" s="5" t="inlineStr">
        <is>
          <t>Washers, Nuts, Hardware</t>
        </is>
      </c>
      <c r="D59" s="5" t="inlineStr">
        <is>
          <t>Various</t>
        </is>
      </c>
      <c r="E59" s="5" t="inlineStr">
        <is>
          <t>LOT</t>
        </is>
      </c>
      <c r="F59" s="5" t="inlineStr">
        <is>
          <t>1</t>
        </is>
      </c>
      <c r="G59" s="5" t="inlineStr">
        <is>
          <t>50</t>
        </is>
      </c>
      <c r="H59" s="5">
        <f>F59*H59</f>
        <v/>
      </c>
      <c r="I59" s="5" t="inlineStr">
        <is>
          <t>0</t>
        </is>
      </c>
      <c r="J59" s="5" t="inlineStr">
        <is>
          <t>45</t>
        </is>
      </c>
      <c r="K59" s="5">
        <f>J59*K59</f>
        <v/>
      </c>
      <c r="L59" s="5">
        <f>I59+L59</f>
        <v/>
      </c>
      <c r="M59" s="5" t="inlineStr">
        <is>
          <t>15%</t>
        </is>
      </c>
      <c r="N59" s="5">
        <f>M59*(1+N59)</f>
        <v/>
      </c>
    </row>
    <row r="60">
      <c r="A60" s="4" t="inlineStr">
        <is>
          <t>F-059</t>
        </is>
      </c>
      <c r="B60" s="4" t="inlineStr">
        <is>
          <t>WELDING</t>
        </is>
      </c>
      <c r="C60" s="4" t="inlineStr">
        <is>
          <t>E70XX Electrode</t>
        </is>
      </c>
      <c r="D60" s="4" t="inlineStr">
        <is>
          <t>AWS A5.1</t>
        </is>
      </c>
      <c r="E60" s="4" t="inlineStr">
        <is>
          <t>LB</t>
        </is>
      </c>
      <c r="F60" s="4" t="n"/>
      <c r="G60" s="4" t="inlineStr">
        <is>
          <t>1</t>
        </is>
      </c>
      <c r="H60" s="4" t="inlineStr">
        <is>
          <t>3.25</t>
        </is>
      </c>
      <c r="I60" s="4">
        <f>F60*H60</f>
        <v/>
      </c>
      <c r="J60" s="4" t="inlineStr">
        <is>
          <t>0</t>
        </is>
      </c>
      <c r="K60" s="4" t="inlineStr">
        <is>
          <t>45</t>
        </is>
      </c>
      <c r="L60" s="4">
        <f>J60*K60</f>
        <v/>
      </c>
      <c r="M60" s="4">
        <f>I60+L60</f>
        <v/>
      </c>
      <c r="N60" s="4" t="inlineStr">
        <is>
          <t>0%</t>
        </is>
      </c>
      <c r="O60" s="4">
        <f>M60*(1+N60)</f>
        <v/>
      </c>
    </row>
    <row r="61">
      <c r="A61" s="5" t="inlineStr">
        <is>
          <t>F-060</t>
        </is>
      </c>
      <c r="B61" s="5" t="n"/>
      <c r="C61" s="5" t="inlineStr">
        <is>
          <t>E80XX Electrode</t>
        </is>
      </c>
      <c r="D61" s="5" t="inlineStr">
        <is>
          <t>AWS A5.5</t>
        </is>
      </c>
      <c r="E61" s="5" t="inlineStr">
        <is>
          <t>LB</t>
        </is>
      </c>
      <c r="F61" s="5" t="n"/>
      <c r="G61" s="5" t="inlineStr">
        <is>
          <t>1</t>
        </is>
      </c>
      <c r="H61" s="5" t="inlineStr">
        <is>
          <t>4.50</t>
        </is>
      </c>
      <c r="I61" s="5">
        <f>F61*H61</f>
        <v/>
      </c>
      <c r="J61" s="5" t="inlineStr">
        <is>
          <t>0</t>
        </is>
      </c>
      <c r="K61" s="5" t="inlineStr">
        <is>
          <t>45</t>
        </is>
      </c>
      <c r="L61" s="5">
        <f>J61*K61</f>
        <v/>
      </c>
      <c r="M61" s="5">
        <f>I61+L61</f>
        <v/>
      </c>
      <c r="N61" s="5" t="inlineStr">
        <is>
          <t>0%</t>
        </is>
      </c>
      <c r="O61" s="5">
        <f>M61*(1+N61)</f>
        <v/>
      </c>
    </row>
    <row r="62">
      <c r="A62" s="5" t="inlineStr">
        <is>
          <t>F-061</t>
        </is>
      </c>
      <c r="B62" s="5" t="n"/>
      <c r="C62" s="5" t="inlineStr">
        <is>
          <t>Shielding Gas (CO2/Ar)</t>
        </is>
      </c>
      <c r="D62" s="5" t="inlineStr">
        <is>
          <t>Welding Grade</t>
        </is>
      </c>
      <c r="E62" s="5" t="inlineStr">
        <is>
          <t>CF</t>
        </is>
      </c>
      <c r="F62" s="5" t="n"/>
      <c r="G62" s="5" t="inlineStr">
        <is>
          <t>1</t>
        </is>
      </c>
      <c r="H62" s="5" t="inlineStr">
        <is>
          <t>0.08</t>
        </is>
      </c>
      <c r="I62" s="5">
        <f>F62*H62</f>
        <v/>
      </c>
      <c r="J62" s="5" t="inlineStr">
        <is>
          <t>0</t>
        </is>
      </c>
      <c r="K62" s="5" t="inlineStr">
        <is>
          <t>45</t>
        </is>
      </c>
      <c r="L62" s="5">
        <f>J62*K62</f>
        <v/>
      </c>
      <c r="M62" s="5">
        <f>I62+L62</f>
        <v/>
      </c>
      <c r="N62" s="5" t="inlineStr">
        <is>
          <t>0%</t>
        </is>
      </c>
      <c r="O62" s="5">
        <f>M62*(1+N62)</f>
        <v/>
      </c>
    </row>
    <row r="63">
      <c r="A63" s="4" t="inlineStr">
        <is>
          <t>F-062</t>
        </is>
      </c>
      <c r="B63" s="4" t="inlineStr">
        <is>
          <t>SURFACE PREP</t>
        </is>
      </c>
      <c r="C63" s="4" t="inlineStr">
        <is>
          <t>Shot Blast (SSPC-SP6)</t>
        </is>
      </c>
      <c r="D63" s="4" t="inlineStr">
        <is>
          <t>Commercial</t>
        </is>
      </c>
      <c r="E63" s="4" t="inlineStr">
        <is>
          <t>SF</t>
        </is>
      </c>
      <c r="F63" s="4" t="n"/>
      <c r="G63" s="4" t="inlineStr">
        <is>
          <t>1</t>
        </is>
      </c>
      <c r="H63" s="4" t="inlineStr">
        <is>
          <t>0.45</t>
        </is>
      </c>
      <c r="I63" s="4">
        <f>F63*H63</f>
        <v/>
      </c>
      <c r="J63" s="4" t="inlineStr">
        <is>
          <t>0.015</t>
        </is>
      </c>
      <c r="K63" s="4" t="inlineStr">
        <is>
          <t>45</t>
        </is>
      </c>
      <c r="L63" s="4">
        <f>J63*K63</f>
        <v/>
      </c>
      <c r="M63" s="4">
        <f>I63+L63</f>
        <v/>
      </c>
      <c r="N63" s="4" t="inlineStr">
        <is>
          <t>0%</t>
        </is>
      </c>
      <c r="O63" s="4">
        <f>M63*(1+N63)</f>
        <v/>
      </c>
    </row>
    <row r="64">
      <c r="A64" s="5" t="inlineStr">
        <is>
          <t>F-063</t>
        </is>
      </c>
      <c r="B64" s="5" t="n"/>
      <c r="C64" s="5" t="inlineStr">
        <is>
          <t>Primer (Inorganic Zinc)</t>
        </is>
      </c>
      <c r="D64" s="5" t="inlineStr">
        <is>
          <t>SSPC-Paint 20</t>
        </is>
      </c>
      <c r="E64" s="5" t="inlineStr">
        <is>
          <t>SF</t>
        </is>
      </c>
      <c r="F64" s="5" t="n"/>
      <c r="G64" s="5" t="inlineStr">
        <is>
          <t>1</t>
        </is>
      </c>
      <c r="H64" s="5" t="inlineStr">
        <is>
          <t>1.85</t>
        </is>
      </c>
      <c r="I64" s="5">
        <f>F64*H64</f>
        <v/>
      </c>
      <c r="J64" s="5" t="inlineStr">
        <is>
          <t>0.025</t>
        </is>
      </c>
      <c r="K64" s="5" t="inlineStr">
        <is>
          <t>45</t>
        </is>
      </c>
      <c r="L64" s="5">
        <f>J64*K64</f>
        <v/>
      </c>
      <c r="M64" s="5">
        <f>I64+L64</f>
        <v/>
      </c>
      <c r="N64" s="5" t="inlineStr">
        <is>
          <t>0%</t>
        </is>
      </c>
      <c r="O64" s="5">
        <f>M64*(1+N64)</f>
        <v/>
      </c>
    </row>
    <row r="65">
      <c r="A65" s="5" t="inlineStr">
        <is>
          <t>F-064</t>
        </is>
      </c>
      <c r="B65" s="5" t="n"/>
      <c r="C65" s="5" t="inlineStr">
        <is>
          <t>Intermediate Coat</t>
        </is>
      </c>
      <c r="D65" s="5" t="inlineStr">
        <is>
          <t>Epoxy</t>
        </is>
      </c>
      <c r="E65" s="5" t="inlineStr">
        <is>
          <t>SF</t>
        </is>
      </c>
      <c r="F65" s="5" t="n"/>
      <c r="G65" s="5" t="inlineStr">
        <is>
          <t>1</t>
        </is>
      </c>
      <c r="H65" s="5" t="inlineStr">
        <is>
          <t>1.25</t>
        </is>
      </c>
      <c r="I65" s="5">
        <f>F65*H65</f>
        <v/>
      </c>
      <c r="J65" s="5" t="inlineStr">
        <is>
          <t>0.020</t>
        </is>
      </c>
      <c r="K65" s="5" t="inlineStr">
        <is>
          <t>45</t>
        </is>
      </c>
      <c r="L65" s="5">
        <f>J65*K65</f>
        <v/>
      </c>
      <c r="M65" s="5">
        <f>I65+L65</f>
        <v/>
      </c>
      <c r="N65" s="5" t="inlineStr">
        <is>
          <t>0%</t>
        </is>
      </c>
      <c r="O65" s="5">
        <f>M65*(1+N65)</f>
        <v/>
      </c>
    </row>
    <row r="66">
      <c r="A66" s="5" t="inlineStr">
        <is>
          <t>F-065</t>
        </is>
      </c>
      <c r="B66" s="5" t="n"/>
      <c r="C66" s="5" t="inlineStr">
        <is>
          <t>Finish Coat (Urethane)</t>
        </is>
      </c>
      <c r="D66" s="5" t="inlineStr">
        <is>
          <t>Aliphatic</t>
        </is>
      </c>
      <c r="E66" s="5" t="inlineStr">
        <is>
          <t>SF</t>
        </is>
      </c>
      <c r="F66" s="5" t="n"/>
      <c r="G66" s="5" t="inlineStr">
        <is>
          <t>1</t>
        </is>
      </c>
      <c r="H66" s="5" t="inlineStr">
        <is>
          <t>1.45</t>
        </is>
      </c>
      <c r="I66" s="5">
        <f>F66*H66</f>
        <v/>
      </c>
      <c r="J66" s="5" t="inlineStr">
        <is>
          <t>0.018</t>
        </is>
      </c>
      <c r="K66" s="5" t="inlineStr">
        <is>
          <t>45</t>
        </is>
      </c>
      <c r="L66" s="5">
        <f>J66*K66</f>
        <v/>
      </c>
      <c r="M66" s="5">
        <f>I66+L66</f>
        <v/>
      </c>
      <c r="N66" s="5" t="inlineStr">
        <is>
          <t>0%</t>
        </is>
      </c>
      <c r="O66" s="5">
        <f>M66*(1+N66)</f>
        <v/>
      </c>
    </row>
    <row r="67">
      <c r="A67" s="5" t="inlineStr">
        <is>
          <t>F-066</t>
        </is>
      </c>
      <c r="B67" s="5" t="n"/>
      <c r="C67" s="5" t="inlineStr">
        <is>
          <t>Touch-up Paint</t>
        </is>
      </c>
      <c r="D67" s="5" t="inlineStr">
        <is>
          <t>Zinc Rich</t>
        </is>
      </c>
      <c r="E67" s="5" t="inlineStr">
        <is>
          <t>GAL</t>
        </is>
      </c>
      <c r="F67" s="5" t="n"/>
      <c r="G67" s="5" t="inlineStr">
        <is>
          <t>1</t>
        </is>
      </c>
      <c r="H67" s="5" t="inlineStr">
        <is>
          <t>45.00</t>
        </is>
      </c>
      <c r="I67" s="5">
        <f>F67*H67</f>
        <v/>
      </c>
      <c r="J67" s="5" t="inlineStr">
        <is>
          <t>0</t>
        </is>
      </c>
      <c r="K67" s="5" t="inlineStr">
        <is>
          <t>45</t>
        </is>
      </c>
      <c r="L67" s="5">
        <f>J67*K67</f>
        <v/>
      </c>
      <c r="M67" s="5">
        <f>I67+L67</f>
        <v/>
      </c>
      <c r="N67" s="5" t="inlineStr">
        <is>
          <t>0%</t>
        </is>
      </c>
      <c r="O67" s="5">
        <f>M67*(1+N67)</f>
        <v/>
      </c>
    </row>
    <row r="68">
      <c r="A68" s="4" t="inlineStr">
        <is>
          <t>F-067</t>
        </is>
      </c>
      <c r="B68" s="4" t="inlineStr">
        <is>
          <t>SHIPPING</t>
        </is>
      </c>
      <c r="C68" s="4" t="inlineStr">
        <is>
          <t>Freight - Local</t>
        </is>
      </c>
      <c r="D68" s="4" t="inlineStr">
        <is>
          <t>Flatbed</t>
        </is>
      </c>
      <c r="E68" s="4" t="inlineStr">
        <is>
          <t>LOAD</t>
        </is>
      </c>
      <c r="F68" s="4" t="n"/>
      <c r="G68" s="4" t="inlineStr">
        <is>
          <t>1</t>
        </is>
      </c>
      <c r="H68" s="4" t="inlineStr">
        <is>
          <t>850</t>
        </is>
      </c>
      <c r="I68" s="4">
        <f>F68*H68</f>
        <v/>
      </c>
      <c r="J68" s="4" t="inlineStr">
        <is>
          <t>0</t>
        </is>
      </c>
      <c r="K68" s="4" t="inlineStr">
        <is>
          <t>45</t>
        </is>
      </c>
      <c r="L68" s="4">
        <f>J68*K68</f>
        <v/>
      </c>
      <c r="M68" s="4">
        <f>I68+L68</f>
        <v/>
      </c>
      <c r="N68" s="4" t="inlineStr">
        <is>
          <t>0%</t>
        </is>
      </c>
      <c r="O68" s="4">
        <f>M68*(1+N68)</f>
        <v/>
      </c>
    </row>
    <row r="69">
      <c r="A69" s="5" t="inlineStr">
        <is>
          <t>F-068</t>
        </is>
      </c>
      <c r="B69" s="5" t="n"/>
      <c r="C69" s="5" t="inlineStr">
        <is>
          <t>Freight - Regional</t>
        </is>
      </c>
      <c r="D69" s="5" t="inlineStr">
        <is>
          <t>Flatbed</t>
        </is>
      </c>
      <c r="E69" s="5" t="inlineStr">
        <is>
          <t>LOAD</t>
        </is>
      </c>
      <c r="F69" s="5" t="n"/>
      <c r="G69" s="5" t="inlineStr">
        <is>
          <t>1</t>
        </is>
      </c>
      <c r="H69" s="5" t="inlineStr">
        <is>
          <t>1850</t>
        </is>
      </c>
      <c r="I69" s="5">
        <f>F69*H69</f>
        <v/>
      </c>
      <c r="J69" s="5" t="inlineStr">
        <is>
          <t>0</t>
        </is>
      </c>
      <c r="K69" s="5" t="inlineStr">
        <is>
          <t>45</t>
        </is>
      </c>
      <c r="L69" s="5">
        <f>J69*K69</f>
        <v/>
      </c>
      <c r="M69" s="5">
        <f>I69+L69</f>
        <v/>
      </c>
      <c r="N69" s="5" t="inlineStr">
        <is>
          <t>0%</t>
        </is>
      </c>
      <c r="O69" s="5">
        <f>M69*(1+N69)</f>
        <v/>
      </c>
    </row>
    <row r="70">
      <c r="A70" s="5" t="inlineStr">
        <is>
          <t>F-069</t>
        </is>
      </c>
      <c r="B70" s="5" t="n"/>
      <c r="C70" s="5" t="inlineStr">
        <is>
          <t>Freight - Long Distance</t>
        </is>
      </c>
      <c r="D70" s="5" t="inlineStr">
        <is>
          <t>Flatbed</t>
        </is>
      </c>
      <c r="E70" s="5" t="inlineStr">
        <is>
          <t>LOAD</t>
        </is>
      </c>
      <c r="F70" s="5" t="n"/>
      <c r="G70" s="5" t="inlineStr">
        <is>
          <t>1</t>
        </is>
      </c>
      <c r="H70" s="5" t="inlineStr">
        <is>
          <t>3200</t>
        </is>
      </c>
      <c r="I70" s="5">
        <f>F70*H70</f>
        <v/>
      </c>
      <c r="J70" s="5" t="inlineStr">
        <is>
          <t>0</t>
        </is>
      </c>
      <c r="K70" s="5" t="inlineStr">
        <is>
          <t>45</t>
        </is>
      </c>
      <c r="L70" s="5">
        <f>J70*K70</f>
        <v/>
      </c>
      <c r="M70" s="5">
        <f>I70+L70</f>
        <v/>
      </c>
      <c r="N70" s="5" t="inlineStr">
        <is>
          <t>0%</t>
        </is>
      </c>
      <c r="O70" s="5">
        <f>M70*(1+N70)</f>
        <v/>
      </c>
    </row>
    <row r="71">
      <c r="A71" s="5" t="inlineStr">
        <is>
          <t>F-070</t>
        </is>
      </c>
      <c r="B71" s="5" t="n"/>
      <c r="C71" s="5" t="inlineStr">
        <is>
          <t>Oversize/Permit Loads</t>
        </is>
      </c>
      <c r="D71" s="5" t="inlineStr">
        <is>
          <t>Special</t>
        </is>
      </c>
      <c r="E71" s="5" t="inlineStr">
        <is>
          <t>LOAD</t>
        </is>
      </c>
      <c r="F71" s="5" t="n"/>
      <c r="G71" s="5" t="inlineStr">
        <is>
          <t>1</t>
        </is>
      </c>
      <c r="H71" s="5" t="inlineStr">
        <is>
          <t>2500</t>
        </is>
      </c>
      <c r="I71" s="5">
        <f>F71*H71</f>
        <v/>
      </c>
      <c r="J71" s="5" t="inlineStr">
        <is>
          <t>0</t>
        </is>
      </c>
      <c r="K71" s="5" t="inlineStr">
        <is>
          <t>45</t>
        </is>
      </c>
      <c r="L71" s="5">
        <f>J71*K71</f>
        <v/>
      </c>
      <c r="M71" s="5">
        <f>I71+L71</f>
        <v/>
      </c>
      <c r="N71" s="5" t="inlineStr">
        <is>
          <t>0%</t>
        </is>
      </c>
      <c r="O71" s="5">
        <f>M71*(1+N71)</f>
        <v/>
      </c>
    </row>
    <row r="72">
      <c r="A72" s="4" t="inlineStr">
        <is>
          <t>F-071</t>
        </is>
      </c>
      <c r="B72" s="4" t="inlineStr">
        <is>
          <t>SUBCONTRACTOR</t>
        </is>
      </c>
      <c r="C72" s="4" t="inlineStr">
        <is>
          <t>Galvanizing</t>
        </is>
      </c>
      <c r="D72" s="4" t="inlineStr">
        <is>
          <t>Hot-Dip</t>
        </is>
      </c>
      <c r="E72" s="4" t="inlineStr">
        <is>
          <t>TON</t>
        </is>
      </c>
      <c r="F72" s="4" t="n"/>
      <c r="G72" s="4" t="inlineStr">
        <is>
          <t>1</t>
        </is>
      </c>
      <c r="H72" s="4" t="inlineStr">
        <is>
          <t>850</t>
        </is>
      </c>
      <c r="I72" s="4">
        <f>F72*H72</f>
        <v/>
      </c>
      <c r="J72" s="4" t="inlineStr">
        <is>
          <t>0</t>
        </is>
      </c>
      <c r="K72" s="4" t="inlineStr">
        <is>
          <t>45</t>
        </is>
      </c>
      <c r="L72" s="4">
        <f>J72*K72</f>
        <v/>
      </c>
      <c r="M72" s="4">
        <f>I72+L72</f>
        <v/>
      </c>
      <c r="N72" s="4" t="inlineStr">
        <is>
          <t>0%</t>
        </is>
      </c>
      <c r="O72" s="4">
        <f>M72*(1+N72)</f>
        <v/>
      </c>
    </row>
    <row r="73">
      <c r="A73" s="5" t="inlineStr">
        <is>
          <t>F-072</t>
        </is>
      </c>
      <c r="B73" s="5" t="n"/>
      <c r="C73" s="5" t="inlineStr">
        <is>
          <t>Fireproofing (intumescent)</t>
        </is>
      </c>
      <c r="D73" s="5" t="inlineStr">
        <is>
          <t>Cementitious</t>
        </is>
      </c>
      <c r="E73" s="5" t="inlineStr">
        <is>
          <t>SF</t>
        </is>
      </c>
      <c r="F73" s="5" t="n"/>
      <c r="G73" s="5" t="inlineStr">
        <is>
          <t>1</t>
        </is>
      </c>
      <c r="H73" s="5" t="inlineStr">
        <is>
          <t>4.50</t>
        </is>
      </c>
      <c r="I73" s="5">
        <f>F73*H73</f>
        <v/>
      </c>
      <c r="J73" s="5" t="inlineStr">
        <is>
          <t>0</t>
        </is>
      </c>
      <c r="K73" s="5" t="inlineStr">
        <is>
          <t>45</t>
        </is>
      </c>
      <c r="L73" s="5">
        <f>J73*K73</f>
        <v/>
      </c>
      <c r="M73" s="5">
        <f>I73+L73</f>
        <v/>
      </c>
      <c r="N73" s="5" t="inlineStr">
        <is>
          <t>0%</t>
        </is>
      </c>
      <c r="O73" s="5">
        <f>M73*(1+N73)</f>
        <v/>
      </c>
    </row>
    <row r="74">
      <c r="A74" s="5" t="inlineStr">
        <is>
          <t>F-073</t>
        </is>
      </c>
      <c r="B74" s="5" t="n"/>
      <c r="C74" s="5" t="inlineStr">
        <is>
          <t>Specialty Coatings</t>
        </is>
      </c>
      <c r="D74" s="5" t="inlineStr">
        <is>
          <t>Epoxy/Urethane</t>
        </is>
      </c>
      <c r="E74" s="5" t="inlineStr">
        <is>
          <t>SF</t>
        </is>
      </c>
      <c r="F74" s="5" t="n"/>
      <c r="G74" s="5" t="inlineStr">
        <is>
          <t>1</t>
        </is>
      </c>
      <c r="H74" s="5" t="inlineStr">
        <is>
          <t>6.25</t>
        </is>
      </c>
      <c r="I74" s="5">
        <f>F74*H74</f>
        <v/>
      </c>
      <c r="J74" s="5" t="inlineStr">
        <is>
          <t>0</t>
        </is>
      </c>
      <c r="K74" s="5" t="inlineStr">
        <is>
          <t>45</t>
        </is>
      </c>
      <c r="L74" s="5">
        <f>J74*K74</f>
        <v/>
      </c>
      <c r="M74" s="5">
        <f>I74+L74</f>
        <v/>
      </c>
      <c r="N74" s="5" t="inlineStr">
        <is>
          <t>0%</t>
        </is>
      </c>
      <c r="O74" s="5">
        <f>M74*(1+N74)</f>
        <v/>
      </c>
    </row>
    <row r="75">
      <c r="A75" s="5" t="inlineStr">
        <is>
          <t>F-074</t>
        </is>
      </c>
      <c r="B75" s="5" t="n"/>
      <c r="C75" s="5" t="inlineStr">
        <is>
          <t>Third-Party Inspection</t>
        </is>
      </c>
      <c r="D75" s="5" t="inlineStr">
        <is>
          <t>CWI/NDT</t>
        </is>
      </c>
      <c r="E75" s="5" t="inlineStr">
        <is>
          <t>JOB</t>
        </is>
      </c>
      <c r="F75" s="5" t="n"/>
      <c r="G75" s="5" t="inlineStr">
        <is>
          <t>1</t>
        </is>
      </c>
      <c r="H75" s="5" t="inlineStr">
        <is>
          <t>2500</t>
        </is>
      </c>
      <c r="I75" s="5">
        <f>F75*H75</f>
        <v/>
      </c>
      <c r="J75" s="5" t="inlineStr">
        <is>
          <t>0</t>
        </is>
      </c>
      <c r="K75" s="5" t="inlineStr">
        <is>
          <t>45</t>
        </is>
      </c>
      <c r="L75" s="5">
        <f>J75*K75</f>
        <v/>
      </c>
      <c r="M75" s="5">
        <f>I75+L75</f>
        <v/>
      </c>
      <c r="N75" s="5" t="inlineStr">
        <is>
          <t>0%</t>
        </is>
      </c>
      <c r="O75" s="5">
        <f>M75*(1+N75)</f>
        <v/>
      </c>
    </row>
    <row r="76">
      <c r="A76" s="5" t="inlineStr">
        <is>
          <t>F-075</t>
        </is>
      </c>
      <c r="B76" s="5" t="n"/>
      <c r="C76" s="5" t="inlineStr">
        <is>
          <t>Engineering/Certification</t>
        </is>
      </c>
      <c r="D76" s="5" t="inlineStr">
        <is>
          <t>PE Stamp</t>
        </is>
      </c>
      <c r="E76" s="5" t="inlineStr">
        <is>
          <t>JOB</t>
        </is>
      </c>
      <c r="F76" s="5" t="n"/>
      <c r="G76" s="5" t="inlineStr">
        <is>
          <t>1</t>
        </is>
      </c>
      <c r="H76" s="5" t="inlineStr">
        <is>
          <t>3500</t>
        </is>
      </c>
      <c r="I76" s="5">
        <f>F76*H76</f>
        <v/>
      </c>
      <c r="J76" s="5" t="inlineStr">
        <is>
          <t>0</t>
        </is>
      </c>
      <c r="K76" s="5" t="inlineStr">
        <is>
          <t>45</t>
        </is>
      </c>
      <c r="L76" s="5">
        <f>J76*K76</f>
        <v/>
      </c>
      <c r="M76" s="5">
        <f>I76+L76</f>
        <v/>
      </c>
      <c r="N76" s="5" t="inlineStr">
        <is>
          <t>0%</t>
        </is>
      </c>
      <c r="O76" s="5">
        <f>M76*(1+N76)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inlineStr">
        <is>
          <t>FABRICATION TOTAL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E2*G2</f>
        <v/>
      </c>
      <c r="I2" s="8" t="inlineStr">
        <is>
          <t>45</t>
        </is>
      </c>
      <c r="J2" s="8">
        <f>H2*I2</f>
        <v/>
      </c>
      <c r="K2" s="22" t="inlineStr">
        <is>
          <t>1850</t>
        </is>
      </c>
      <c r="L2" s="8">
        <f>J2+K2</f>
        <v/>
      </c>
      <c r="M2" s="8" t="inlineStr">
        <is>
          <t>0%</t>
        </is>
      </c>
      <c r="N2" s="8">
        <f>L2*(1+M2)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E3*G3</f>
        <v/>
      </c>
      <c r="I3" s="5" t="inlineStr">
        <is>
          <t>45</t>
        </is>
      </c>
      <c r="J3" s="5">
        <f>H3*I3</f>
        <v/>
      </c>
      <c r="K3" s="23" t="inlineStr">
        <is>
          <t>450</t>
        </is>
      </c>
      <c r="L3" s="5">
        <f>J3+K3</f>
        <v/>
      </c>
      <c r="M3" s="5" t="inlineStr">
        <is>
          <t>0%</t>
        </is>
      </c>
      <c r="N3" s="5">
        <f>L3*(1+M3)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E4*G4</f>
        <v/>
      </c>
      <c r="I4" s="5" t="inlineStr">
        <is>
          <t>45</t>
        </is>
      </c>
      <c r="J4" s="5">
        <f>H4*I4</f>
        <v/>
      </c>
      <c r="K4" s="23" t="inlineStr">
        <is>
          <t>650</t>
        </is>
      </c>
      <c r="L4" s="5">
        <f>J4+K4</f>
        <v/>
      </c>
      <c r="M4" s="5" t="inlineStr">
        <is>
          <t>0%</t>
        </is>
      </c>
      <c r="N4" s="5">
        <f>L4*(1+M4)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E5*G5</f>
        <v/>
      </c>
      <c r="I5" s="8" t="inlineStr">
        <is>
          <t>65</t>
        </is>
      </c>
      <c r="J5" s="8">
        <f>H5*I5</f>
        <v/>
      </c>
      <c r="K5" s="22" t="inlineStr">
        <is>
          <t>1850</t>
        </is>
      </c>
      <c r="L5" s="8">
        <f>J5+K5</f>
        <v/>
      </c>
      <c r="M5" s="8" t="inlineStr">
        <is>
          <t>0%</t>
        </is>
      </c>
      <c r="N5" s="8">
        <f>L5*(1+M5)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E6*G6</f>
        <v/>
      </c>
      <c r="I6" s="5" t="inlineStr">
        <is>
          <t>65</t>
        </is>
      </c>
      <c r="J6" s="5">
        <f>H6*I6</f>
        <v/>
      </c>
      <c r="K6" s="23" t="inlineStr">
        <is>
          <t>2450</t>
        </is>
      </c>
      <c r="L6" s="5">
        <f>J6+K6</f>
        <v/>
      </c>
      <c r="M6" s="5" t="inlineStr">
        <is>
          <t>0%</t>
        </is>
      </c>
      <c r="N6" s="5">
        <f>L6*(1+M6)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E7*G7</f>
        <v/>
      </c>
      <c r="I7" s="5" t="inlineStr">
        <is>
          <t>65</t>
        </is>
      </c>
      <c r="J7" s="5">
        <f>H7*I7</f>
        <v/>
      </c>
      <c r="K7" s="23" t="inlineStr">
        <is>
          <t>3200</t>
        </is>
      </c>
      <c r="L7" s="5">
        <f>J7+K7</f>
        <v/>
      </c>
      <c r="M7" s="5" t="inlineStr">
        <is>
          <t>0%</t>
        </is>
      </c>
      <c r="N7" s="5">
        <f>L7*(1+M7)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E8*8</f>
        <v/>
      </c>
      <c r="I8" s="5" t="inlineStr">
        <is>
          <t>0</t>
        </is>
      </c>
      <c r="J8" s="5">
        <f>H8*I8</f>
        <v/>
      </c>
      <c r="K8" s="23" t="inlineStr">
        <is>
          <t>450</t>
        </is>
      </c>
      <c r="L8" s="5">
        <f>J8+K8</f>
        <v/>
      </c>
      <c r="M8" s="5" t="inlineStr">
        <is>
          <t>0%</t>
        </is>
      </c>
      <c r="N8" s="5">
        <f>L8*(1+M8)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E9*G9</f>
        <v/>
      </c>
      <c r="I9" s="8" t="inlineStr">
        <is>
          <t>45</t>
        </is>
      </c>
      <c r="J9" s="8">
        <f>H9*I9</f>
        <v/>
      </c>
      <c r="K9" s="22" t="inlineStr">
        <is>
          <t>35</t>
        </is>
      </c>
      <c r="L9" s="8">
        <f>J9+K9</f>
        <v/>
      </c>
      <c r="M9" s="8" t="inlineStr">
        <is>
          <t>0%</t>
        </is>
      </c>
      <c r="N9" s="8">
        <f>L9*(1+M9)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E10*G10</f>
        <v/>
      </c>
      <c r="I10" s="8" t="inlineStr">
        <is>
          <t>45</t>
        </is>
      </c>
      <c r="J10" s="8">
        <f>H10*I10</f>
        <v/>
      </c>
      <c r="K10" s="22" t="inlineStr">
        <is>
          <t>225</t>
        </is>
      </c>
      <c r="L10" s="8">
        <f>J10+K10</f>
        <v/>
      </c>
      <c r="M10" s="8" t="inlineStr">
        <is>
          <t>0%</t>
        </is>
      </c>
      <c r="N10" s="8">
        <f>L10*(1+M10)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E11*G11</f>
        <v/>
      </c>
      <c r="I11" s="5" t="inlineStr">
        <is>
          <t>45</t>
        </is>
      </c>
      <c r="J11" s="5">
        <f>H11*I11</f>
        <v/>
      </c>
      <c r="K11" s="23" t="inlineStr">
        <is>
          <t>175</t>
        </is>
      </c>
      <c r="L11" s="5">
        <f>J11+K11</f>
        <v/>
      </c>
      <c r="M11" s="5" t="inlineStr">
        <is>
          <t>0%</t>
        </is>
      </c>
      <c r="N11" s="5">
        <f>L11*(1+M11)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E12*G12</f>
        <v/>
      </c>
      <c r="I12" s="5" t="inlineStr">
        <is>
          <t>45</t>
        </is>
      </c>
      <c r="J12" s="5">
        <f>H12*I12</f>
        <v/>
      </c>
      <c r="K12" s="23" t="inlineStr">
        <is>
          <t>125</t>
        </is>
      </c>
      <c r="L12" s="5">
        <f>J12+K12</f>
        <v/>
      </c>
      <c r="M12" s="5" t="inlineStr">
        <is>
          <t>0%</t>
        </is>
      </c>
      <c r="N12" s="5">
        <f>L12*(1+M12)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E13*G13</f>
        <v/>
      </c>
      <c r="I13" s="8" t="inlineStr">
        <is>
          <t>45</t>
        </is>
      </c>
      <c r="J13" s="8">
        <f>H13*I13</f>
        <v/>
      </c>
      <c r="K13" s="22" t="inlineStr">
        <is>
          <t>195</t>
        </is>
      </c>
      <c r="L13" s="8">
        <f>J13+K13</f>
        <v/>
      </c>
      <c r="M13" s="8" t="inlineStr">
        <is>
          <t>0%</t>
        </is>
      </c>
      <c r="N13" s="8">
        <f>L13*(1+M13)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E14*G14</f>
        <v/>
      </c>
      <c r="I14" s="5" t="inlineStr">
        <is>
          <t>45</t>
        </is>
      </c>
      <c r="J14" s="5">
        <f>H14*I14</f>
        <v/>
      </c>
      <c r="K14" s="23" t="inlineStr">
        <is>
          <t>155</t>
        </is>
      </c>
      <c r="L14" s="5">
        <f>J14+K14</f>
        <v/>
      </c>
      <c r="M14" s="5" t="inlineStr">
        <is>
          <t>0%</t>
        </is>
      </c>
      <c r="N14" s="5">
        <f>L14*(1+M14)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E15*G15</f>
        <v/>
      </c>
      <c r="I15" s="5" t="inlineStr">
        <is>
          <t>45</t>
        </is>
      </c>
      <c r="J15" s="5">
        <f>H15*I15</f>
        <v/>
      </c>
      <c r="K15" s="23" t="inlineStr">
        <is>
          <t>125</t>
        </is>
      </c>
      <c r="L15" s="5">
        <f>J15+K15</f>
        <v/>
      </c>
      <c r="M15" s="5" t="inlineStr">
        <is>
          <t>0%</t>
        </is>
      </c>
      <c r="N15" s="5">
        <f>L15*(1+M15)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E16*G16</f>
        <v/>
      </c>
      <c r="I16" s="5" t="inlineStr">
        <is>
          <t>45</t>
        </is>
      </c>
      <c r="J16" s="5">
        <f>H16*I16</f>
        <v/>
      </c>
      <c r="K16" s="23" t="inlineStr">
        <is>
          <t>95</t>
        </is>
      </c>
      <c r="L16" s="5">
        <f>J16+K16</f>
        <v/>
      </c>
      <c r="M16" s="5" t="inlineStr">
        <is>
          <t>0%</t>
        </is>
      </c>
      <c r="N16" s="5">
        <f>L16*(1+M16)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E17*G17</f>
        <v/>
      </c>
      <c r="I17" s="5" t="inlineStr">
        <is>
          <t>45</t>
        </is>
      </c>
      <c r="J17" s="5">
        <f>H17*I17</f>
        <v/>
      </c>
      <c r="K17" s="23" t="inlineStr">
        <is>
          <t>75</t>
        </is>
      </c>
      <c r="L17" s="5">
        <f>J17+K17</f>
        <v/>
      </c>
      <c r="M17" s="5" t="inlineStr">
        <is>
          <t>0%</t>
        </is>
      </c>
      <c r="N17" s="5">
        <f>L17*(1+M17)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E18*G18</f>
        <v/>
      </c>
      <c r="I18" s="5" t="inlineStr">
        <is>
          <t>45</t>
        </is>
      </c>
      <c r="J18" s="5">
        <f>H18*I18</f>
        <v/>
      </c>
      <c r="K18" s="23" t="inlineStr">
        <is>
          <t>60</t>
        </is>
      </c>
      <c r="L18" s="5">
        <f>J18+K18</f>
        <v/>
      </c>
      <c r="M18" s="5" t="inlineStr">
        <is>
          <t>0%</t>
        </is>
      </c>
      <c r="N18" s="5">
        <f>L18*(1+M18)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E19*G19</f>
        <v/>
      </c>
      <c r="I19" s="5" t="inlineStr">
        <is>
          <t>45</t>
        </is>
      </c>
      <c r="J19" s="5">
        <f>H19*I19</f>
        <v/>
      </c>
      <c r="K19" s="23" t="inlineStr">
        <is>
          <t>45</t>
        </is>
      </c>
      <c r="L19" s="5">
        <f>J19+K19</f>
        <v/>
      </c>
      <c r="M19" s="5" t="inlineStr">
        <is>
          <t>0%</t>
        </is>
      </c>
      <c r="N19" s="5">
        <f>L19*(1+M19)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E20*G20</f>
        <v/>
      </c>
      <c r="I20" s="8" t="inlineStr">
        <is>
          <t>45</t>
        </is>
      </c>
      <c r="J20" s="8">
        <f>H20*I20</f>
        <v/>
      </c>
      <c r="K20" s="22" t="inlineStr">
        <is>
          <t>15</t>
        </is>
      </c>
      <c r="L20" s="8">
        <f>J20+K20</f>
        <v/>
      </c>
      <c r="M20" s="8" t="inlineStr">
        <is>
          <t>0%</t>
        </is>
      </c>
      <c r="N20" s="8">
        <f>L20*(1+M20)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E21*G21</f>
        <v/>
      </c>
      <c r="I21" s="5" t="inlineStr">
        <is>
          <t>45</t>
        </is>
      </c>
      <c r="J21" s="5">
        <f>H21*I21</f>
        <v/>
      </c>
      <c r="K21" s="23" t="inlineStr">
        <is>
          <t>25</t>
        </is>
      </c>
      <c r="L21" s="5">
        <f>J21+K21</f>
        <v/>
      </c>
      <c r="M21" s="5" t="inlineStr">
        <is>
          <t>0%</t>
        </is>
      </c>
      <c r="N21" s="5">
        <f>L21*(1+M21)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E22*G22</f>
        <v/>
      </c>
      <c r="I22" s="5" t="inlineStr">
        <is>
          <t>55</t>
        </is>
      </c>
      <c r="J22" s="5">
        <f>H22*I22</f>
        <v/>
      </c>
      <c r="K22" s="23" t="inlineStr">
        <is>
          <t>20</t>
        </is>
      </c>
      <c r="L22" s="5">
        <f>J22+K22</f>
        <v/>
      </c>
      <c r="M22" s="5" t="inlineStr">
        <is>
          <t>0%</t>
        </is>
      </c>
      <c r="N22" s="5">
        <f>L22*(1+M22)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E23*G23</f>
        <v/>
      </c>
      <c r="I23" s="5" t="inlineStr">
        <is>
          <t>55</t>
        </is>
      </c>
      <c r="J23" s="5">
        <f>H23*I23</f>
        <v/>
      </c>
      <c r="K23" s="23" t="inlineStr">
        <is>
          <t>35</t>
        </is>
      </c>
      <c r="L23" s="5">
        <f>J23+K23</f>
        <v/>
      </c>
      <c r="M23" s="5" t="inlineStr">
        <is>
          <t>0%</t>
        </is>
      </c>
      <c r="N23" s="5">
        <f>L23*(1+M23)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E24*G24</f>
        <v/>
      </c>
      <c r="I24" s="8" t="inlineStr">
        <is>
          <t>45</t>
        </is>
      </c>
      <c r="J24" s="8">
        <f>H24*I24</f>
        <v/>
      </c>
      <c r="K24" s="22" t="inlineStr">
        <is>
          <t>8</t>
        </is>
      </c>
      <c r="L24" s="8">
        <f>J24+K24</f>
        <v/>
      </c>
      <c r="M24" s="8" t="inlineStr">
        <is>
          <t>0%</t>
        </is>
      </c>
      <c r="N24" s="8">
        <f>L24*(1+M24)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E25*G25</f>
        <v/>
      </c>
      <c r="I25" s="5" t="inlineStr">
        <is>
          <t>45</t>
        </is>
      </c>
      <c r="J25" s="5">
        <f>H25*I25</f>
        <v/>
      </c>
      <c r="K25" s="23" t="inlineStr">
        <is>
          <t>10</t>
        </is>
      </c>
      <c r="L25" s="5">
        <f>J25+K25</f>
        <v/>
      </c>
      <c r="M25" s="5" t="inlineStr">
        <is>
          <t>0%</t>
        </is>
      </c>
      <c r="N25" s="5">
        <f>L25*(1+M25)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E26*G26</f>
        <v/>
      </c>
      <c r="I26" s="5" t="inlineStr">
        <is>
          <t>55</t>
        </is>
      </c>
      <c r="J26" s="5">
        <f>H26*I26</f>
        <v/>
      </c>
      <c r="K26" s="23" t="inlineStr">
        <is>
          <t>15</t>
        </is>
      </c>
      <c r="L26" s="5">
        <f>J26+K26</f>
        <v/>
      </c>
      <c r="M26" s="5" t="inlineStr">
        <is>
          <t>0%</t>
        </is>
      </c>
      <c r="N26" s="5">
        <f>L26*(1+M26)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E27*G27</f>
        <v/>
      </c>
      <c r="I27" s="8" t="inlineStr">
        <is>
          <t>45</t>
        </is>
      </c>
      <c r="J27" s="8">
        <f>H27*I27</f>
        <v/>
      </c>
      <c r="K27" s="22" t="inlineStr">
        <is>
          <t>0</t>
        </is>
      </c>
      <c r="L27" s="8">
        <f>J27+K27</f>
        <v/>
      </c>
      <c r="M27" s="8" t="inlineStr">
        <is>
          <t>0%</t>
        </is>
      </c>
      <c r="N27" s="8">
        <f>L27*(1+M27)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E28*G28</f>
        <v/>
      </c>
      <c r="I28" s="5" t="inlineStr">
        <is>
          <t>45</t>
        </is>
      </c>
      <c r="J28" s="5">
        <f>H28*I28</f>
        <v/>
      </c>
      <c r="K28" s="23" t="inlineStr">
        <is>
          <t>125</t>
        </is>
      </c>
      <c r="L28" s="5">
        <f>J28+K28</f>
        <v/>
      </c>
      <c r="M28" s="5" t="inlineStr">
        <is>
          <t>0%</t>
        </is>
      </c>
      <c r="N28" s="5">
        <f>L28*(1+M28)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E29*G29</f>
        <v/>
      </c>
      <c r="I29" s="5" t="inlineStr">
        <is>
          <t>45</t>
        </is>
      </c>
      <c r="J29" s="5">
        <f>H29*I29</f>
        <v/>
      </c>
      <c r="K29" s="23" t="inlineStr">
        <is>
          <t>185</t>
        </is>
      </c>
      <c r="L29" s="5">
        <f>J29+K29</f>
        <v/>
      </c>
      <c r="M29" s="5" t="inlineStr">
        <is>
          <t>0%</t>
        </is>
      </c>
      <c r="N29" s="5">
        <f>L29*(1+M29)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E30*G30</f>
        <v/>
      </c>
      <c r="I30" s="5" t="inlineStr">
        <is>
          <t>45</t>
        </is>
      </c>
      <c r="J30" s="5">
        <f>H30*I30</f>
        <v/>
      </c>
      <c r="K30" s="23" t="inlineStr">
        <is>
          <t>650</t>
        </is>
      </c>
      <c r="L30" s="5">
        <f>J30+K30</f>
        <v/>
      </c>
      <c r="M30" s="5" t="inlineStr">
        <is>
          <t>0%</t>
        </is>
      </c>
      <c r="N30" s="5">
        <f>L30*(1+M30)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E31*G31</f>
        <v/>
      </c>
      <c r="I31" s="5" t="inlineStr">
        <is>
          <t>45</t>
        </is>
      </c>
      <c r="J31" s="5">
        <f>H31*I31</f>
        <v/>
      </c>
      <c r="K31" s="23" t="inlineStr">
        <is>
          <t>950</t>
        </is>
      </c>
      <c r="L31" s="5">
        <f>J31+K31</f>
        <v/>
      </c>
      <c r="M31" s="5" t="inlineStr">
        <is>
          <t>0%</t>
        </is>
      </c>
      <c r="N31" s="5">
        <f>L31*(1+M31)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12">
        <f>'2-Fabrication'!O78</f>
        <v/>
      </c>
      <c r="C5" s="5" t="inlineStr">
        <is>
          <t>0%</t>
        </is>
      </c>
      <c r="D5" s="12">
        <f>B5*(1+C5)</f>
        <v/>
      </c>
    </row>
    <row r="6">
      <c r="A6" s="5" t="inlineStr">
        <is>
          <t xml:space="preserve">  Freight/Shipping</t>
        </is>
      </c>
      <c r="B6" s="5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5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12">
        <f>B5</f>
        <v/>
      </c>
      <c r="C8" s="5" t="n"/>
      <c r="D8" s="12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12">
        <f>'3-Erection'!N33</f>
        <v/>
      </c>
      <c r="C11" s="5" t="inlineStr">
        <is>
          <t>0%</t>
        </is>
      </c>
      <c r="D11" s="12">
        <f>B11*(1+C11)</f>
        <v/>
      </c>
    </row>
    <row r="12">
      <c r="A12" s="5" t="inlineStr">
        <is>
          <t xml:space="preserve">  Equipment (Cranes, etc.)</t>
        </is>
      </c>
      <c r="B12" s="12">
        <f>SUM('3-Erection'!K2:K31)</f>
        <v/>
      </c>
      <c r="C12" s="5" t="inlineStr">
        <is>
          <t>0%</t>
        </is>
      </c>
      <c r="D12" s="12">
        <f>B12*(1+C12)</f>
        <v/>
      </c>
    </row>
    <row r="13">
      <c r="A13" s="5" t="inlineStr">
        <is>
          <t xml:space="preserve">  Erection Subtotal</t>
        </is>
      </c>
      <c r="B13" s="12">
        <f>B11+B12</f>
        <v/>
      </c>
      <c r="C13" s="5" t="n"/>
      <c r="D13" s="12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12">
        <f>B8+B13</f>
        <v/>
      </c>
      <c r="C15" s="5" t="n"/>
      <c r="D15" s="12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12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12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12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12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12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14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5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12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5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5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11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5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5" t="inlineStr">
        <is>
          <t>10%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